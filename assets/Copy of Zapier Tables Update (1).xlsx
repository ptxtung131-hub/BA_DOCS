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A and Table B" sheetId="1" r:id="rId5"/>
    <sheet state="visible" name="Table C" sheetId="2" r:id="rId6"/>
    <sheet state="visible" name="Table D1" sheetId="3" r:id="rId7"/>
    <sheet state="visible" name="Table D2" sheetId="4" r:id="rId8"/>
    <sheet state="visible" name="Table E" sheetId="5" r:id="rId9"/>
    <sheet state="visible" name="Table F" sheetId="6" r:id="rId10"/>
    <sheet state="visible" name="Table G" sheetId="7" r:id="rId11"/>
    <sheet state="visible" name="Table H" sheetId="8" r:id="rId12"/>
    <sheet state="visible" name="Table I" sheetId="9" r:id="rId13"/>
    <sheet state="visible" name="Table J" sheetId="10" r:id="rId14"/>
  </sheets>
  <definedNames/>
  <calcPr/>
</workbook>
</file>

<file path=xl/sharedStrings.xml><?xml version="1.0" encoding="utf-8"?>
<sst xmlns="http://schemas.openxmlformats.org/spreadsheetml/2006/main" count="576" uniqueCount="329">
  <si>
    <t>Table D2: Marketing, Lifecycle &amp; Nurture Events (Klaviyo)</t>
  </si>
  <si>
    <t>Appendix A: Forex Configuration Matrix (Table A)</t>
  </si>
  <si>
    <t>Global Variables (Table C)</t>
  </si>
  <si>
    <t>Table D1: Operational &amp; Security Notifications (AWS SES)</t>
  </si>
  <si>
    <t>[External | Stacktrading] List of Email and PDF file</t>
  </si>
  <si>
    <t>Event Payload Key</t>
  </si>
  <si>
    <t>Variable</t>
  </si>
  <si>
    <t>Currency: USD. Enforces Notional Limits and Overnight Caps.</t>
  </si>
  <si>
    <t>Lifecycle Context &amp; Conversion Optimization Goal</t>
  </si>
  <si>
    <t>Value</t>
  </si>
  <si>
    <t>Description</t>
  </si>
  <si>
    <t>Cart_Abandonment</t>
  </si>
  <si>
    <t>Triggered by the frontend onBlur script. Recovers high-intent traffic before drop-off.</t>
  </si>
  <si>
    <t>Title</t>
  </si>
  <si>
    <t>Max_Forex_Notional</t>
  </si>
  <si>
    <t>Profit_Target</t>
  </si>
  <si>
    <t>Market_Loss_When_Stopped</t>
  </si>
  <si>
    <t>Bonus_Paid_To_Trader</t>
  </si>
  <si>
    <t>Forex_Overnight_Cap_Percent</t>
  </si>
  <si>
    <t>Base_Income</t>
  </si>
  <si>
    <t>Base_Income_Flex</t>
  </si>
  <si>
    <t>Base_Income_Type</t>
  </si>
  <si>
    <t>Severance_Pay</t>
  </si>
  <si>
    <t>Retry_Discount</t>
  </si>
  <si>
    <t>Future_Newsletter_Welcome</t>
  </si>
  <si>
    <t>DTO_Days</t>
  </si>
  <si>
    <t>Target/Stop</t>
  </si>
  <si>
    <t>Fired via the homepage footer widget to distribute initial market insights and onboarding content.</t>
  </si>
  <si>
    <t>0.25 (25%)</t>
  </si>
  <si>
    <t>Annualized_Base_Benefits</t>
  </si>
  <si>
    <t>Max allowed open notional at 3:59 PM CST.</t>
  </si>
  <si>
    <t>Benefits</t>
  </si>
  <si>
    <t>Challenge_Failed</t>
  </si>
  <si>
    <t>Dispatches immediate performance encouragement and drives evaluation reset conversions.</t>
  </si>
  <si>
    <t>Swap_Risk_Threshold</t>
  </si>
  <si>
    <t>0.70 (70%)</t>
  </si>
  <si>
    <t>If P&amp;L Loss &gt; 70% of Stop Limit, Overnight Holding is BANNED.</t>
  </si>
  <si>
    <t>Associate Trader</t>
  </si>
  <si>
    <t>Retention_Offer_Discount</t>
  </si>
  <si>
    <t>Trigger Event Key</t>
  </si>
  <si>
    <t>Dispatches the automatic retry promotion code to traders who lose a funded live account.</t>
  </si>
  <si>
    <t>Discount_Code_Duration_Days</t>
  </si>
  <si>
    <t>N/A</t>
  </si>
  <si>
    <t>Description &amp; Target Criteria</t>
  </si>
  <si>
    <t>7.5% / 5%</t>
  </si>
  <si>
    <t>Coupon_Expiring_Soon</t>
  </si>
  <si>
    <t>Countdown alert configured to create urgency around an unused challenge or reset discount code.</t>
  </si>
  <si>
    <t>Welcome_Sim_Challenge_Part_1</t>
  </si>
  <si>
    <r>
      <rPr>
        <rFont val="Arial"/>
        <color theme="1"/>
      </rPr>
      <t xml:space="preserve">Validity of retention coupons </t>
    </r>
    <r>
      <rPr>
        <rFont val="Arial"/>
        <color rgb="FF0000FF"/>
      </rPr>
      <t>and archived data</t>
    </r>
    <r>
      <rPr>
        <rFont val="Arial"/>
        <color theme="1"/>
      </rPr>
      <t>.</t>
    </r>
  </si>
  <si>
    <t>Promotion_Level_3</t>
  </si>
  <si>
    <t>High-engagement message delivering performance metrics, certificate access, and data fee refund status.</t>
  </si>
  <si>
    <t>Triggerred when the checkout's payment is succeeded.</t>
  </si>
  <si>
    <t>Min_Payout_Threshold</t>
  </si>
  <si>
    <t>Promotion_Level_6</t>
  </si>
  <si>
    <t>Welcome_Sim_Challenge</t>
  </si>
  <si>
    <t>Career notification delivering the formal corporate W2 benefits or cash-flex salary configurator link.</t>
  </si>
  <si>
    <t>Dispatches platform username, link token, and installation guides immediately upon verification.</t>
  </si>
  <si>
    <t>Minimum USD amount to trigger a payout.</t>
  </si>
  <si>
    <t>Deposit_Buffer_Percent</t>
  </si>
  <si>
    <t>Welcome_Sim_Challenge_Resend</t>
  </si>
  <si>
    <t xml:space="preserve">Triggered by users or by admin via BPS endpoint. The content is the same as Welcome_SIM_challenge </t>
  </si>
  <si>
    <t>Buffer added to FCM deposits.</t>
  </si>
  <si>
    <t>Promotion_Standard</t>
  </si>
  <si>
    <t>Milestone update celebrating account progress and unlocking higher capital scaling tiers.</t>
  </si>
  <si>
    <t>9.4% / 7%</t>
  </si>
  <si>
    <t>Live_Onboarding_Level_1</t>
  </si>
  <si>
    <t>Dispatches the secure compliance onboarding pack link (Veriff KYC and Dots tax profile setup).</t>
  </si>
  <si>
    <t>Pod_Max_Capacity</t>
  </si>
  <si>
    <t>Max traders per Pod Leader.</t>
  </si>
  <si>
    <t>Level_24_Prestige_Reset</t>
  </si>
  <si>
    <t>Security_Reset_Complete</t>
  </si>
  <si>
    <t>Enterprise celebration sequence detailing complete path clearance and performance evaluation.</t>
  </si>
  <si>
    <t>Invalidation confirmation for platform 2FA tokens.</t>
  </si>
  <si>
    <t>Identity_Verification_Retry</t>
  </si>
  <si>
    <t>Triggered if Veriff requires clearer document re-submission.</t>
  </si>
  <si>
    <t>Perk_Unlocked_General</t>
  </si>
  <si>
    <t>Trader</t>
  </si>
  <si>
    <t>Automated fulfillment notification for general physical merchandise and luxury accessories.</t>
  </si>
  <si>
    <t>Identity_Verification_Failed_Final</t>
  </si>
  <si>
    <t>Hard compliance rejection notice following three failed verification sessions.</t>
  </si>
  <si>
    <t>Base_CME_Data_Cost</t>
  </si>
  <si>
    <t>Hourly</t>
  </si>
  <si>
    <t>Cost firm absorbs per trader.</t>
  </si>
  <si>
    <t>Stagnation_Warning</t>
  </si>
  <si>
    <t>Account preservation check-ins triggered sequentially to protect inactive evaluation seats.</t>
  </si>
  <si>
    <t>Restricted_Region_Notice</t>
  </si>
  <si>
    <t>Immediate refund notice triggered by regional sanctions match during verification or calculation steps.</t>
  </si>
  <si>
    <t>News_Trading_Stop_Threshold</t>
  </si>
  <si>
    <t>Velocity_Reward_Unlocked</t>
  </si>
  <si>
    <t>Viral Loop incentive offering challenge discount vouchers for hitting affiliate milestones.</t>
  </si>
  <si>
    <t>If P&amp;L Loss &gt; 70% of Stop Limit, News Trading is restricted or flattened.</t>
  </si>
  <si>
    <t>Compliance_Review_Required</t>
  </si>
  <si>
    <t>Internal notification alerting the operations desk of a background check flag or matching exception.</t>
  </si>
  <si>
    <t>Template_Mentee_Trading_Plan</t>
  </si>
  <si>
    <t>Form distribution link gathering trader data, risk models, and visual chart strategy documentation.</t>
  </si>
  <si>
    <t>Daily_Loss_Ratio</t>
  </si>
  <si>
    <t>Drawdown_Defense_Activated_Initial</t>
  </si>
  <si>
    <t>Template_Mentee_Survey</t>
  </si>
  <si>
    <t>0.334 (1/3)</t>
  </si>
  <si>
    <t>Captures objective qualitative data to update internal mentor compliance scores.</t>
  </si>
  <si>
    <t>Notifies trader that the 48-hour mandatory cooling-off lockout has commenced.</t>
  </si>
  <si>
    <t>Ratio of Daily Loss Limit to Total Account Stop Loss.</t>
  </si>
  <si>
    <t>Pod_Leader_Invite</t>
  </si>
  <si>
    <t>Drawdown_Defense_Ready</t>
  </si>
  <si>
    <t>Outlines compensation frameworks and contains the single-click pod allocation button.</t>
  </si>
  <si>
    <t>Confirms completion of the cooling-off window and provides the updated risk parameters.</t>
  </si>
  <si>
    <t>Pod_Leader_Welcome</t>
  </si>
  <si>
    <t>News_Hold_Cap_Percent</t>
  </si>
  <si>
    <t>Welcome kit detailing private Discord channel routing and calendar access links.</t>
  </si>
  <si>
    <t>Pod_Founding_Leader_Welcome</t>
  </si>
  <si>
    <t>Max allowed open notional during High Impact News events.</t>
  </si>
  <si>
    <t>Onboarding letter supplying Workspace credentials and platform activation tokens.</t>
  </si>
  <si>
    <t>Pod_Assignment_Confirmation</t>
  </si>
  <si>
    <t>Introduces a newly matched trader to their assigned pod mentor.</t>
  </si>
  <si>
    <t>Level_6_International_Contractor</t>
  </si>
  <si>
    <t>Dispatches the country-specific contractor documentation template.</t>
  </si>
  <si>
    <t>Challenge_Extension_Days</t>
  </si>
  <si>
    <t>Number of days added to expiration_date upon extension purchase.</t>
  </si>
  <si>
    <t>Pod_Waitlist_Notification</t>
  </si>
  <si>
    <t>FIFO queue status update for traders waiting for an open pod mentor seat.</t>
  </si>
  <si>
    <t>Dots_Profile_Action_Needed</t>
  </si>
  <si>
    <t>Warning to international traders to correct a suspended payment profile before live capital injection.</t>
  </si>
  <si>
    <t>Global_Var_FCM_Margin_Ratio</t>
  </si>
  <si>
    <t>% of Allocated Capital required as backing.</t>
  </si>
  <si>
    <t>Pod_Reassigned_Notification</t>
  </si>
  <si>
    <t>Notice detailing a mentor transition following a pod leadership suspension or restructuring event.</t>
  </si>
  <si>
    <t>Monthly_Data_Invoice_Available</t>
  </si>
  <si>
    <t>Informs Futures traders that their market data statement is ready for review in the dashboard.</t>
  </si>
  <si>
    <t>Global_Var_FCM_Target_Buffer</t>
  </si>
  <si>
    <t>Ideal operating balance multiplier.</t>
  </si>
  <si>
    <t>Pod_Leader_Vesting_Paid</t>
  </si>
  <si>
    <t>Urgent_Data_Payment_Required</t>
  </si>
  <si>
    <t>Statement notification confirming carry payouts have cleared to the banking channel.</t>
  </si>
  <si>
    <t>High-priority collection warning following an NMI credit card vault payment rejection.</t>
  </si>
  <si>
    <t>Global_Var_FCM_Excess_Buffer</t>
  </si>
  <si>
    <t>Profit withdrawal trigger multiplier.</t>
  </si>
  <si>
    <t>Data_Feed_Downgraded</t>
  </si>
  <si>
    <t>Notice that additional exchange feeds are disabled due to past-due balances.</t>
  </si>
  <si>
    <t>Broadcast_Media_Guest_Alert</t>
  </si>
  <si>
    <t>Broadcast dispatch announcing upcoming studio media guests or scheduled Discord AMAs.</t>
  </si>
  <si>
    <t>Global_Var_Max_Auto_Transfer_Limit</t>
  </si>
  <si>
    <t>News_Liquidation_Alert</t>
  </si>
  <si>
    <t>Urgent safety notice detailing automated flattening due to trading during high-impact economic events.</t>
  </si>
  <si>
    <t>Safety Cap ($) for auto-transfers.</t>
  </si>
  <si>
    <t>Overnight_Auto_Liquidation_Alert</t>
  </si>
  <si>
    <t>Automated margin flatten notice executed 30 seconds prior to exchange lockout.</t>
  </si>
  <si>
    <t>Global_Var_Founder_Cohort_Open</t>
  </si>
  <si>
    <t>Master Cohort switch. IF TRUE, new signups get Founder status and locked pricing. IF FALSE, they get Standard status.</t>
  </si>
  <si>
    <t>Live_Account_Closed</t>
  </si>
  <si>
    <t>Final termination letter following capital depletion or contract resignation.</t>
  </si>
  <si>
    <t>Founder_Cohort_Limit</t>
  </si>
  <si>
    <t>SIM_Provisioning_Failed</t>
  </si>
  <si>
    <t>Total spots available for the Founding 500 price and perks</t>
  </si>
  <si>
    <t>Triggered when SIM provisioning or Auth0 provisioning failed</t>
  </si>
  <si>
    <t>Global_Var_Allow_New_Signups</t>
  </si>
  <si>
    <t>Master Throttling Switch. IF TRUE, public funnel is open. IF FALSE, website renders "Waitlist Mode" and API rejects new signups.</t>
  </si>
  <si>
    <t>Identity_Verification_Manual_Reset</t>
  </si>
  <si>
    <t xml:space="preserve">Triggered manually by admin when Veriff KYC is failed  </t>
  </si>
  <si>
    <t>Min_Pod_Leader_Level</t>
  </si>
  <si>
    <t>Level_1_Setup_Form</t>
  </si>
  <si>
    <t>The minimum level required to be invited as a Pod Leader</t>
  </si>
  <si>
    <t>Allow users to config market data subscriptions</t>
  </si>
  <si>
    <t>Senior Trader 1</t>
  </si>
  <si>
    <t>Defense_Protocol_Recharged</t>
  </si>
  <si>
    <t xml:space="preserve">Trigger when the 48-hour defense time is passed </t>
  </si>
  <si>
    <t>Active_Broadcast_URL</t>
  </si>
  <si>
    <t>Annual</t>
  </si>
  <si>
    <t>String</t>
  </si>
  <si>
    <t>The YouTube Video ID for the current live stream.</t>
  </si>
  <si>
    <t>11% / 10%</t>
  </si>
  <si>
    <t>Broadcast_Is_Live</t>
  </si>
  <si>
    <t>Boolean</t>
  </si>
  <si>
    <t>Toggles the frontend player visibility.</t>
  </si>
  <si>
    <t>SIM_stop_percent</t>
  </si>
  <si>
    <t>The parameter used on SIM to calculate max drawdown. 
Formula: 
- Soft breach: DAILY PnL &lt;= [(SIM_stop_percent) * Notional] * Daily_Loss_Ratio
- Hard breah: PnL &lt;= (SIM_stop_percent) * Notional</t>
  </si>
  <si>
    <t>SIM_target_percent</t>
  </si>
  <si>
    <t>The parameter used on SIM to calculate profit target.
Formula:
PnL &gt;= SIM_target_percent * Notional</t>
  </si>
  <si>
    <t>Price_Data_CME</t>
  </si>
  <si>
    <t>137.50</t>
  </si>
  <si>
    <t>Price_Data_CBOT</t>
  </si>
  <si>
    <t>Price_Data_NYMEX</t>
  </si>
  <si>
    <t>Price_Data_COMEX</t>
  </si>
  <si>
    <t>Senior Trader 2</t>
  </si>
  <si>
    <t>Principal Trader</t>
  </si>
  <si>
    <t>Managing Principal Trader</t>
  </si>
  <si>
    <t>Appendix B: Futures Configuration Matrix (Table B)</t>
  </si>
  <si>
    <t>Currency: USD. Contracts normalized to E-Mini S&amp;P 500 (ES) Margin.</t>
  </si>
  <si>
    <t>Logic: 1 ES ≈ 10 Micros (MES). 1 CL (Crude) ≈ 2 ES.</t>
  </si>
  <si>
    <t>Futures_Capital</t>
  </si>
  <si>
    <t>Max_Contracts_ES_Equiv</t>
  </si>
  <si>
    <t>Assets_Permitted</t>
  </si>
  <si>
    <t>Max_Futures_Notional</t>
  </si>
  <si>
    <t>8 Micros</t>
  </si>
  <si>
    <t>"Micros Only (MES, MNQ, M2K)"</t>
  </si>
  <si>
    <t>16 Micros</t>
  </si>
  <si>
    <t>3 Minis</t>
  </si>
  <si>
    <t>"All Minis (ES, NQ, YM)"</t>
  </si>
  <si>
    <t>5 Minis</t>
  </si>
  <si>
    <t>"All Minis + Commodities (CL, GC)*"</t>
  </si>
  <si>
    <t>7 Minis</t>
  </si>
  <si>
    <t>All Asset Classes</t>
  </si>
  <si>
    <t>12 Minis</t>
  </si>
  <si>
    <t>17 Minis</t>
  </si>
  <si>
    <t>25 Minis</t>
  </si>
  <si>
    <t>37 Minis</t>
  </si>
  <si>
    <t>66 Minis</t>
  </si>
  <si>
    <t>100 Minis</t>
  </si>
  <si>
    <t>133 Minis</t>
  </si>
  <si>
    <t>200 Minis</t>
  </si>
  <si>
    <t>333 Minis</t>
  </si>
  <si>
    <t>500 Minis</t>
  </si>
  <si>
    <t>666 Minis</t>
  </si>
  <si>
    <t>1000 Minis</t>
  </si>
  <si>
    <t>1333 Minis</t>
  </si>
  <si>
    <t>1666 Minis</t>
  </si>
  <si>
    <t>2333 Minis</t>
  </si>
  <si>
    <t>2833 Minis</t>
  </si>
  <si>
    <t>3333 Minis</t>
  </si>
  <si>
    <t>4166 Minis</t>
  </si>
  <si>
    <t>5000 Minis</t>
  </si>
  <si>
    <t>3.7 Evaluation and Reset Pricing (Table J)</t>
  </si>
  <si>
    <t>Track</t>
  </si>
  <si>
    <t>Challenge Price</t>
  </si>
  <si>
    <t>Futures Reset Price</t>
  </si>
  <si>
    <t>Forex Reset Price</t>
  </si>
  <si>
    <t>Extension Fee</t>
  </si>
  <si>
    <t>Founder Price</t>
  </si>
  <si>
    <t>Founder Reset Fee</t>
  </si>
  <si>
    <t>Associate Track (Level 1)</t>
  </si>
  <si>
    <t>Accelerated Track (Level 2)</t>
  </si>
  <si>
    <t>Advanced Track (Level 5)</t>
  </si>
  <si>
    <t>The Pod Leader Registry (Table E)</t>
  </si>
  <si>
    <t>Leader_Name</t>
  </si>
  <si>
    <t>Leader_ID</t>
  </si>
  <si>
    <t>Trading_Style</t>
  </si>
  <si>
    <t>Asset_Class</t>
  </si>
  <si>
    <t>Max_Capacity</t>
  </si>
  <si>
    <t>Current_Count</t>
  </si>
  <si>
    <t>Status</t>
  </si>
  <si>
    <t>Pending_Carry_Balance</t>
  </si>
  <si>
    <t>(Seed Data)</t>
  </si>
  <si>
    <t>Scalping/Swing</t>
  </si>
  <si>
    <t>Futures/Forex</t>
  </si>
  <si>
    <t>Active</t>
  </si>
  <si>
    <t>Defense Configuration Matrix (Table F)</t>
  </si>
  <si>
    <t>Level (9-24)</t>
  </si>
  <si>
    <t>Defense_Notional_Multiplier</t>
  </si>
  <si>
    <t>Defense_Profit_Target_Percent</t>
  </si>
  <si>
    <t>Defense_Stop_Loss_Percent</t>
  </si>
  <si>
    <t>Seed Data (Levels 9-24)</t>
  </si>
  <si>
    <t>0.06 (6%)</t>
  </si>
  <si>
    <t>0.05 (5%)</t>
  </si>
  <si>
    <t>Discord Role Configuration (Table G)</t>
  </si>
  <si>
    <t>Level Range</t>
  </si>
  <si>
    <t>Role Title</t>
  </si>
  <si>
    <t>Permission Level</t>
  </si>
  <si>
    <t>Levels 1-5</t>
  </si>
  <si>
    <t>"Associate Trader"</t>
  </si>
  <si>
    <t>Public Channels Only</t>
  </si>
  <si>
    <t>Levels 6-9</t>
  </si>
  <si>
    <t>"Trader"</t>
  </si>
  <si>
    <t>+ Private Team Channels</t>
  </si>
  <si>
    <t>Levels 10-13</t>
  </si>
  <si>
    <t>"Senior Trader I"</t>
  </si>
  <si>
    <t>+ Priority Support</t>
  </si>
  <si>
    <t>Levels 14-17</t>
  </si>
  <si>
    <t>"Senior Trader II"</t>
  </si>
  <si>
    <t>+ Beta Features</t>
  </si>
  <si>
    <t>Levels 18-21</t>
  </si>
  <si>
    <t>"Principal Traders"</t>
  </si>
  <si>
    <t>+ Direct Line to Ops</t>
  </si>
  <si>
    <t>Levels 22-24</t>
  </si>
  <si>
    <t>"Managing Principal Traders"</t>
  </si>
  <si>
    <t>+ Partner Access</t>
  </si>
  <si>
    <t>Special</t>
  </si>
  <si>
    <t>"Partner"</t>
  </si>
  <si>
    <t>+ Partner channels</t>
  </si>
  <si>
    <t>"Pod Leader"</t>
  </si>
  <si>
    <t>Manage Pod Channels</t>
  </si>
  <si>
    <t>"Pod Member"</t>
  </si>
  <si>
    <t>Access Pod Channel</t>
  </si>
  <si>
    <t>Perks Registry (Table H)</t>
  </si>
  <si>
    <t>Level</t>
  </si>
  <si>
    <t>Claimed</t>
  </si>
  <si>
    <t>Limit</t>
  </si>
  <si>
    <t>Perk</t>
  </si>
  <si>
    <t>Perk_Description</t>
  </si>
  <si>
    <t>Fulfillment_Zap</t>
  </si>
  <si>
    <t>Yes</t>
  </si>
  <si>
    <t>Hoodie</t>
  </si>
  <si>
    <t>Founding 500 Heavyweight Hoodie</t>
  </si>
  <si>
    <t>Flow 25 (Apliiq)</t>
  </si>
  <si>
    <t>Suit</t>
  </si>
  <si>
    <t>Tom James Custom Suit</t>
  </si>
  <si>
    <t>Flow 26 (Suit Email)</t>
  </si>
  <si>
    <t>No</t>
  </si>
  <si>
    <t>-</t>
  </si>
  <si>
    <t>Watch</t>
  </si>
  <si>
    <t>Luxury Timepiece</t>
  </si>
  <si>
    <t>Productivity_Choice</t>
  </si>
  <si>
    <t>High-End Setup/Bonus</t>
  </si>
  <si>
    <t>Car</t>
  </si>
  <si>
    <t>Car Lease/Bonus</t>
  </si>
  <si>
    <t>Support</t>
  </si>
  <si>
    <t>T-Shirt</t>
  </si>
  <si>
    <t>Goodwill Merch: Core Logo Tee</t>
  </si>
  <si>
    <t>Flow 37 (Shirt)</t>
  </si>
  <si>
    <t>Platforms and Gateway Registry (Table I)</t>
  </si>
  <si>
    <t>Platform_Name</t>
  </si>
  <si>
    <t>Gateway_Router</t>
  </si>
  <si>
    <t>Is_Active</t>
  </si>
  <si>
    <t>Risk_Group_Template</t>
  </si>
  <si>
    <t>NinjaTrader 8</t>
  </si>
  <si>
    <t>Futures</t>
  </si>
  <si>
    <t>Rithmic</t>
  </si>
  <si>
    <t>Sim_Rithmic_Default</t>
  </si>
  <si>
    <t>Tradesea</t>
  </si>
  <si>
    <t>Quantower</t>
  </si>
  <si>
    <t>ATAS</t>
  </si>
  <si>
    <t>MotiveWave</t>
  </si>
  <si>
    <t>Sierra Chart</t>
  </si>
  <si>
    <t>MetaTrader 5</t>
  </si>
  <si>
    <t>Forex</t>
  </si>
  <si>
    <t>MT5</t>
  </si>
  <si>
    <t>Sim_MT5_Default</t>
  </si>
  <si>
    <t>TradingView</t>
  </si>
  <si>
    <t>TraderEvolution</t>
  </si>
  <si>
    <t>Sim_TV_Default</t>
  </si>
  <si>
    <t>Evaluation and Reset Pricing (Table J)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</si>
</sst>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sz val="14.0"/>
      <color rgb="FF1F1F1F"/>
      <name val="'Google Sans'"/>
    </font>
    <font>
      <sz val="10.0"/>
      <color theme="1"/>
      <name val="&quot;Google Sans Text&quot;"/>
    </font>
    <font>
      <sz val="11.0"/>
      <color rgb="FF1F1F1F"/>
      <name val="'Google Sans Text'"/>
    </font>
    <font>
      <b/>
      <sz val="10.0"/>
      <color theme="1"/>
      <name val="&quot;Google Sans Text&quot;"/>
    </font>
    <font>
      <i/>
      <sz val="11.0"/>
      <color rgb="FF1F1F1F"/>
      <name val="'Google Sans Text'"/>
    </font>
    <font>
      <b/>
      <color theme="1"/>
      <name val="Arial"/>
      <scheme val="minor"/>
    </font>
    <font>
      <u/>
      <sz val="10.0"/>
      <color theme="1"/>
      <name val="Arial"/>
      <scheme val="minor"/>
    </font>
    <font>
      <b/>
      <sz val="10.0"/>
      <color rgb="FF0000FF"/>
      <name val="Arial"/>
      <scheme val="minor"/>
    </font>
    <font>
      <sz val="10.0"/>
      <color rgb="FF0000FF"/>
      <name val="Arial"/>
      <scheme val="minor"/>
    </font>
    <font>
      <color rgb="FF0000FF"/>
      <name val="Arial"/>
      <scheme val="minor"/>
    </font>
    <font>
      <b/>
      <color rgb="FF0000FF"/>
      <name val="Arial"/>
      <scheme val="minor"/>
    </font>
    <font>
      <sz val="11.0"/>
      <color rgb="FF000000"/>
      <name val="'Google Sans Text'"/>
    </font>
    <font>
      <color rgb="FF0000FF"/>
      <name val="Arial"/>
    </font>
    <font>
      <sz val="9.0"/>
      <color rgb="FF1F1F1F"/>
      <name val="'Google Sans Text'"/>
    </font>
    <font>
      <b/>
      <sz val="9.0"/>
      <color rgb="FF1F1F1F"/>
      <name val="'Google Sans Text'"/>
    </font>
    <font>
      <color theme="1"/>
      <name val="&quot;Google Sans Text&quot;"/>
    </font>
    <font>
      <b/>
      <strike/>
      <color theme="1"/>
      <name val="&quot;Google Sans Text&quot;"/>
    </font>
    <font>
      <strike/>
      <color theme="1"/>
      <name val="&quot;Google Sans Text&quot;"/>
    </font>
    <font>
      <strike/>
      <color theme="1"/>
      <name val="Arial"/>
      <scheme val="minor"/>
    </font>
    <font>
      <b/>
      <color rgb="FF0000FF"/>
      <name val="&quot;Google Sans Text&quot;"/>
    </font>
    <font>
      <color rgb="FF0000FF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center" vertical="bottom"/>
    </xf>
    <xf borderId="0" fillId="0" fontId="4" numFmtId="0" xfId="0" applyFont="1"/>
    <xf borderId="0" fillId="0" fontId="4" numFmtId="0" xfId="0" applyAlignment="1" applyFont="1">
      <alignment vertical="center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1" fillId="0" fontId="7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0" fillId="0" fontId="10" numFmtId="0" xfId="0" applyFont="1"/>
    <xf borderId="1" fillId="0" fontId="1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2" numFmtId="0" xfId="0" applyAlignment="1" applyFont="1">
      <alignment readingOrder="0" vertical="center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1" fillId="0" fontId="3" numFmtId="0" xfId="0" applyAlignment="1" applyBorder="1" applyFont="1">
      <alignment readingOrder="0" shrinkToFit="0" vertical="center" wrapText="1"/>
    </xf>
    <xf borderId="0" fillId="0" fontId="1" numFmtId="9" xfId="0" applyAlignment="1" applyFont="1" applyNumberFormat="1">
      <alignment horizontal="right" vertical="bottom"/>
    </xf>
    <xf borderId="1" fillId="0" fontId="4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0" fillId="0" fontId="1" numFmtId="165" xfId="0" applyAlignment="1" applyFont="1" applyNumberFormat="1">
      <alignment horizontal="right" vertical="bottom"/>
    </xf>
    <xf borderId="1" fillId="0" fontId="15" numFmtId="0" xfId="0" applyAlignment="1" applyBorder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13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vertical="center"/>
    </xf>
    <xf borderId="0" fillId="0" fontId="1" numFmtId="164" xfId="0" applyAlignment="1" applyFont="1" applyNumberFormat="1">
      <alignment horizontal="center" vertical="bottom"/>
    </xf>
    <xf borderId="0" fillId="0" fontId="13" numFmtId="0" xfId="0" applyAlignment="1" applyFont="1">
      <alignment vertical="center"/>
    </xf>
    <xf borderId="0" fillId="0" fontId="16" numFmtId="0" xfId="0" applyAlignment="1" applyFont="1">
      <alignment readingOrder="0" shrinkToFit="0" vertical="center" wrapText="1"/>
    </xf>
    <xf borderId="0" fillId="0" fontId="15" numFmtId="10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vertical="bottom"/>
    </xf>
    <xf borderId="0" fillId="0" fontId="15" numFmtId="0" xfId="0" applyAlignment="1" applyFont="1">
      <alignment readingOrder="0" shrinkToFit="0" vertical="center" wrapText="1"/>
    </xf>
    <xf borderId="0" fillId="0" fontId="15" numFmtId="9" xfId="0" applyAlignment="1" applyFont="1" applyNumberFormat="1">
      <alignment horizontal="center" readingOrder="0" shrinkToFit="0" vertical="center" wrapText="1"/>
    </xf>
    <xf quotePrefix="1" borderId="0" fillId="0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18" numFmtId="0" xfId="0" applyAlignment="1" applyFont="1">
      <alignment readingOrder="0" vertical="bottom"/>
    </xf>
    <xf borderId="0" fillId="0" fontId="18" numFmtId="164" xfId="0" applyAlignment="1" applyFont="1" applyNumberFormat="1">
      <alignment vertical="bottom"/>
    </xf>
    <xf borderId="0" fillId="0" fontId="19" numFmtId="164" xfId="0" applyAlignment="1" applyFont="1" applyNumberFormat="1">
      <alignment horizontal="left" readingOrder="0" shrinkToFit="0" wrapText="1"/>
    </xf>
    <xf borderId="0" fillId="0" fontId="1" numFmtId="164" xfId="0" applyAlignment="1" applyFont="1" applyNumberFormat="1">
      <alignment horizontal="right" readingOrder="0" vertical="bottom"/>
    </xf>
    <xf borderId="0" fillId="0" fontId="6" numFmtId="0" xfId="0" applyFont="1"/>
    <xf borderId="0" fillId="0" fontId="20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vertical="center" wrapText="0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1" numFmtId="165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11" numFmtId="0" xfId="0" applyAlignment="1" applyFont="1">
      <alignment readingOrder="0" shrinkToFit="0" vertical="center" wrapText="0"/>
    </xf>
    <xf borderId="1" fillId="0" fontId="21" numFmtId="0" xfId="0" applyAlignment="1" applyBorder="1" applyFont="1">
      <alignment readingOrder="0" shrinkToFit="0" vertical="center" wrapText="1"/>
    </xf>
    <xf quotePrefix="1" borderId="1" fillId="0" fontId="2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1" fillId="0" fontId="22" numFmtId="0" xfId="0" applyAlignment="1" applyBorder="1" applyFont="1">
      <alignment readingOrder="0" shrinkToFit="0" vertical="center" wrapText="1"/>
    </xf>
    <xf borderId="1" fillId="0" fontId="23" numFmtId="0" xfId="0" applyAlignment="1" applyBorder="1" applyFont="1">
      <alignment readingOrder="0" shrinkToFit="0" vertical="center" wrapText="1"/>
    </xf>
    <xf borderId="0" fillId="0" fontId="24" numFmtId="0" xfId="0" applyAlignment="1" applyFont="1">
      <alignment shrinkToFit="0" vertical="center" wrapText="1"/>
    </xf>
    <xf borderId="1" fillId="0" fontId="25" numFmtId="0" xfId="0" applyAlignment="1" applyBorder="1" applyFont="1">
      <alignment readingOrder="0" shrinkToFit="0" vertical="center" wrapText="1"/>
    </xf>
    <xf borderId="1" fillId="0" fontId="26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shrinkToFit="0" vertical="center" wrapText="1"/>
    </xf>
    <xf borderId="1" fillId="0" fontId="27" numFmtId="0" xfId="0" applyAlignment="1" applyBorder="1" applyFont="1">
      <alignment readingOrder="0" shrinkToFit="0" vertical="center" wrapText="1"/>
    </xf>
    <xf borderId="1" fillId="0" fontId="21" numFmtId="164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3aHpghjrnTr_Vk8s3A2vZw5J1LRD-f_9hGueOEZudw/edit?gid=0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13"/>
    <col customWidth="1" min="2" max="2" width="20.5"/>
    <col customWidth="1" min="3" max="3" width="16.38"/>
    <col customWidth="1" min="4" max="4" width="10.5"/>
    <col customWidth="1" min="5" max="5" width="23.0"/>
    <col customWidth="1" min="6" max="6" width="18.5"/>
    <col customWidth="1" min="7" max="7" width="11.5"/>
    <col customWidth="1" min="8" max="8" width="15.25"/>
    <col customWidth="1" min="9" max="9" width="15.75"/>
    <col customWidth="1" min="10" max="10" width="12.75"/>
    <col customWidth="1" min="11" max="11" width="12.38"/>
    <col customWidth="1" min="12" max="12" width="9.25"/>
    <col customWidth="1" min="13" max="13" width="9.5"/>
    <col customWidth="1" min="14" max="14" width="20.88"/>
    <col customWidth="1" min="15" max="15" width="20.5"/>
    <col customWidth="1" min="16" max="16" width="27.75"/>
    <col customWidth="1" min="18" max="18" width="17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/>
      <c r="N1" s="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0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5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4" t="s">
        <v>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7"/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25</v>
      </c>
      <c r="M4" s="5" t="s">
        <v>26</v>
      </c>
      <c r="N4" s="19" t="s">
        <v>29</v>
      </c>
      <c r="O4" s="20" t="s">
        <v>31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22">
        <v>1.0</v>
      </c>
      <c r="B5" s="1" t="s">
        <v>37</v>
      </c>
      <c r="C5" s="23">
        <v>25000.0</v>
      </c>
      <c r="D5" s="23">
        <v>1875.0</v>
      </c>
      <c r="E5" s="23">
        <v>1250.0</v>
      </c>
      <c r="F5" s="23">
        <v>0.0</v>
      </c>
      <c r="G5" s="23">
        <v>0.0</v>
      </c>
      <c r="H5" s="23">
        <v>0.0</v>
      </c>
      <c r="I5" s="1" t="s">
        <v>42</v>
      </c>
      <c r="J5" s="23">
        <v>0.0</v>
      </c>
      <c r="K5" s="25">
        <v>0.1</v>
      </c>
      <c r="L5" s="22">
        <v>0.0</v>
      </c>
      <c r="M5" s="5" t="s">
        <v>44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22">
        <v>2.0</v>
      </c>
      <c r="B6" s="1" t="s">
        <v>37</v>
      </c>
      <c r="C6" s="23">
        <v>50000.0</v>
      </c>
      <c r="D6" s="23">
        <v>3750.0</v>
      </c>
      <c r="E6" s="23">
        <v>2500.0</v>
      </c>
      <c r="F6" s="23">
        <v>375.0</v>
      </c>
      <c r="G6" s="23">
        <v>0.0</v>
      </c>
      <c r="H6" s="23">
        <v>0.0</v>
      </c>
      <c r="I6" s="1" t="s">
        <v>42</v>
      </c>
      <c r="J6" s="23">
        <v>0.0</v>
      </c>
      <c r="K6" s="25">
        <v>0.15</v>
      </c>
      <c r="L6" s="22">
        <v>0.0</v>
      </c>
      <c r="M6" s="5" t="s">
        <v>44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22">
        <v>3.0</v>
      </c>
      <c r="B7" s="1" t="s">
        <v>37</v>
      </c>
      <c r="C7" s="23">
        <v>75000.0</v>
      </c>
      <c r="D7" s="23">
        <v>5625.0</v>
      </c>
      <c r="E7" s="23">
        <v>3750.0</v>
      </c>
      <c r="F7" s="23">
        <v>563.0</v>
      </c>
      <c r="G7" s="23">
        <v>0.0</v>
      </c>
      <c r="H7" s="23">
        <v>0.0</v>
      </c>
      <c r="I7" s="1" t="s">
        <v>42</v>
      </c>
      <c r="J7" s="23">
        <v>0.0</v>
      </c>
      <c r="K7" s="25">
        <v>0.2</v>
      </c>
      <c r="L7" s="22">
        <v>0.0</v>
      </c>
      <c r="M7" s="5" t="s">
        <v>44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22">
        <v>4.0</v>
      </c>
      <c r="B8" s="1" t="s">
        <v>37</v>
      </c>
      <c r="C8" s="23">
        <v>100000.0</v>
      </c>
      <c r="D8" s="23">
        <v>9400.0</v>
      </c>
      <c r="E8" s="23">
        <v>7000.0</v>
      </c>
      <c r="F8" s="23">
        <v>940.0</v>
      </c>
      <c r="G8" s="23">
        <v>0.0</v>
      </c>
      <c r="H8" s="23">
        <v>0.0</v>
      </c>
      <c r="I8" s="1" t="s">
        <v>42</v>
      </c>
      <c r="J8" s="23">
        <v>0.0</v>
      </c>
      <c r="K8" s="25">
        <v>0.25</v>
      </c>
      <c r="L8" s="22">
        <v>0.0</v>
      </c>
      <c r="M8" s="5" t="s">
        <v>64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22">
        <v>5.0</v>
      </c>
      <c r="B9" s="1" t="s">
        <v>37</v>
      </c>
      <c r="C9" s="23">
        <v>150000.0</v>
      </c>
      <c r="D9" s="23">
        <v>14100.0</v>
      </c>
      <c r="E9" s="23">
        <v>10500.0</v>
      </c>
      <c r="F9" s="23">
        <v>1410.0</v>
      </c>
      <c r="G9" s="23">
        <v>0.0</v>
      </c>
      <c r="H9" s="23">
        <v>0.0</v>
      </c>
      <c r="I9" s="1" t="s">
        <v>42</v>
      </c>
      <c r="J9" s="23">
        <v>0.0</v>
      </c>
      <c r="K9" s="25">
        <v>0.5</v>
      </c>
      <c r="L9" s="22">
        <v>0.0</v>
      </c>
      <c r="M9" s="5" t="s">
        <v>64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22">
        <v>6.0</v>
      </c>
      <c r="B10" s="1" t="s">
        <v>76</v>
      </c>
      <c r="C10" s="23">
        <v>250000.0</v>
      </c>
      <c r="D10" s="23">
        <v>23500.0</v>
      </c>
      <c r="E10" s="23">
        <v>17500.0</v>
      </c>
      <c r="F10" s="23">
        <v>2350.0</v>
      </c>
      <c r="G10" s="29">
        <v>17.0</v>
      </c>
      <c r="H10" s="23">
        <v>20.0</v>
      </c>
      <c r="I10" s="1" t="s">
        <v>81</v>
      </c>
      <c r="J10" s="23">
        <v>0.0</v>
      </c>
      <c r="K10" s="1" t="s">
        <v>42</v>
      </c>
      <c r="L10" s="22">
        <v>10.0</v>
      </c>
      <c r="M10" s="5" t="s">
        <v>64</v>
      </c>
      <c r="N10" s="31">
        <f t="shared" ref="N10:N13" si="1">G10*1820*1.28</f>
        <v>39603.2</v>
      </c>
      <c r="O10" s="32">
        <f t="shared" ref="O10:O13" si="2">N10-(G10*1820)</f>
        <v>8663.2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2">
        <v>7.0</v>
      </c>
      <c r="B11" s="1" t="s">
        <v>76</v>
      </c>
      <c r="C11" s="23">
        <v>350000.0</v>
      </c>
      <c r="D11" s="23">
        <v>32900.0</v>
      </c>
      <c r="E11" s="23">
        <v>24500.0</v>
      </c>
      <c r="F11" s="23">
        <v>3290.0</v>
      </c>
      <c r="G11" s="29">
        <v>17.0</v>
      </c>
      <c r="H11" s="23">
        <v>20.0</v>
      </c>
      <c r="I11" s="1" t="s">
        <v>81</v>
      </c>
      <c r="J11" s="23">
        <v>750.0</v>
      </c>
      <c r="K11" s="1" t="s">
        <v>42</v>
      </c>
      <c r="L11" s="22">
        <v>10.0</v>
      </c>
      <c r="M11" s="5" t="s">
        <v>64</v>
      </c>
      <c r="N11" s="31">
        <f t="shared" si="1"/>
        <v>39603.2</v>
      </c>
      <c r="O11" s="32">
        <f t="shared" si="2"/>
        <v>8663.2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2">
        <v>8.0</v>
      </c>
      <c r="B12" s="1" t="s">
        <v>76</v>
      </c>
      <c r="C12" s="23">
        <v>500000.0</v>
      </c>
      <c r="D12" s="23">
        <v>47000.0</v>
      </c>
      <c r="E12" s="23">
        <v>35000.0</v>
      </c>
      <c r="F12" s="23">
        <v>6110.0</v>
      </c>
      <c r="G12" s="29">
        <v>20.0</v>
      </c>
      <c r="H12" s="23">
        <v>24.0</v>
      </c>
      <c r="I12" s="1" t="s">
        <v>81</v>
      </c>
      <c r="J12" s="23">
        <v>1000.0</v>
      </c>
      <c r="K12" s="1" t="s">
        <v>42</v>
      </c>
      <c r="L12" s="22">
        <v>10.0</v>
      </c>
      <c r="M12" s="5" t="s">
        <v>64</v>
      </c>
      <c r="N12" s="31">
        <f t="shared" si="1"/>
        <v>46592</v>
      </c>
      <c r="O12" s="32">
        <f t="shared" si="2"/>
        <v>10192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2">
        <v>9.0</v>
      </c>
      <c r="B13" s="1" t="s">
        <v>76</v>
      </c>
      <c r="C13" s="23">
        <v>750000.0</v>
      </c>
      <c r="D13" s="23">
        <v>70500.0</v>
      </c>
      <c r="E13" s="23">
        <v>52500.0</v>
      </c>
      <c r="F13" s="23">
        <v>10575.0</v>
      </c>
      <c r="G13" s="29">
        <v>22.0</v>
      </c>
      <c r="H13" s="23">
        <v>26.0</v>
      </c>
      <c r="I13" s="1" t="s">
        <v>81</v>
      </c>
      <c r="J13" s="23">
        <v>1000.0</v>
      </c>
      <c r="K13" s="1" t="s">
        <v>42</v>
      </c>
      <c r="L13" s="22">
        <v>10.0</v>
      </c>
      <c r="M13" s="5" t="s">
        <v>64</v>
      </c>
      <c r="N13" s="31">
        <f t="shared" si="1"/>
        <v>51251.2</v>
      </c>
      <c r="O13" s="32">
        <f t="shared" si="2"/>
        <v>11211.2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2">
        <v>10.0</v>
      </c>
      <c r="B14" s="1" t="s">
        <v>162</v>
      </c>
      <c r="C14" s="23">
        <v>1000000.0</v>
      </c>
      <c r="D14" s="23">
        <v>110000.0</v>
      </c>
      <c r="E14" s="23">
        <v>90000.0</v>
      </c>
      <c r="F14" s="23">
        <v>27500.0</v>
      </c>
      <c r="G14" s="23">
        <v>55000.0</v>
      </c>
      <c r="H14" s="23">
        <v>64000.0</v>
      </c>
      <c r="I14" s="1" t="s">
        <v>166</v>
      </c>
      <c r="J14" s="23">
        <v>1500.0</v>
      </c>
      <c r="K14" s="1" t="s">
        <v>42</v>
      </c>
      <c r="L14" s="22">
        <v>10.0</v>
      </c>
      <c r="M14" s="5" t="s">
        <v>169</v>
      </c>
      <c r="N14" s="36">
        <f t="shared" ref="N14:N28" si="3">G14*1.28</f>
        <v>70400</v>
      </c>
      <c r="O14" s="40">
        <f t="shared" ref="O14:O28" si="4">N14-G14</f>
        <v>15400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2">
        <v>11.0</v>
      </c>
      <c r="B15" s="1" t="s">
        <v>162</v>
      </c>
      <c r="C15" s="23">
        <v>1500000.0</v>
      </c>
      <c r="D15" s="23">
        <v>165000.0</v>
      </c>
      <c r="E15" s="23">
        <v>135000.0</v>
      </c>
      <c r="F15" s="23">
        <v>41250.0</v>
      </c>
      <c r="G15" s="23">
        <v>55000.0</v>
      </c>
      <c r="H15" s="23">
        <v>64000.0</v>
      </c>
      <c r="I15" s="1" t="s">
        <v>166</v>
      </c>
      <c r="J15" s="23">
        <v>2000.0</v>
      </c>
      <c r="K15" s="1" t="s">
        <v>42</v>
      </c>
      <c r="L15" s="22">
        <v>10.0</v>
      </c>
      <c r="M15" s="5" t="s">
        <v>169</v>
      </c>
      <c r="N15" s="36">
        <f t="shared" si="3"/>
        <v>70400</v>
      </c>
      <c r="O15" s="40">
        <f t="shared" si="4"/>
        <v>15400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2">
        <v>12.0</v>
      </c>
      <c r="B16" s="1" t="s">
        <v>162</v>
      </c>
      <c r="C16" s="23">
        <v>2000000.0</v>
      </c>
      <c r="D16" s="23">
        <v>220000.0</v>
      </c>
      <c r="E16" s="23">
        <v>180000.0</v>
      </c>
      <c r="F16" s="23">
        <v>55000.0</v>
      </c>
      <c r="G16" s="23">
        <v>75000.0</v>
      </c>
      <c r="H16" s="23">
        <v>87000.0</v>
      </c>
      <c r="I16" s="1" t="s">
        <v>166</v>
      </c>
      <c r="J16" s="23">
        <v>2500.0</v>
      </c>
      <c r="K16" s="1" t="s">
        <v>42</v>
      </c>
      <c r="L16" s="22">
        <v>10.0</v>
      </c>
      <c r="M16" s="5" t="s">
        <v>169</v>
      </c>
      <c r="N16" s="36">
        <f t="shared" si="3"/>
        <v>96000</v>
      </c>
      <c r="O16" s="40">
        <f t="shared" si="4"/>
        <v>21000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2">
        <v>13.0</v>
      </c>
      <c r="B17" s="1" t="s">
        <v>162</v>
      </c>
      <c r="C17" s="23">
        <v>3000000.0</v>
      </c>
      <c r="D17" s="23">
        <v>330000.0</v>
      </c>
      <c r="E17" s="23">
        <v>270000.0</v>
      </c>
      <c r="F17" s="23">
        <v>82500.0</v>
      </c>
      <c r="G17" s="23">
        <v>75000.0</v>
      </c>
      <c r="H17" s="23">
        <v>87000.0</v>
      </c>
      <c r="I17" s="1" t="s">
        <v>166</v>
      </c>
      <c r="J17" s="23">
        <v>3000.0</v>
      </c>
      <c r="K17" s="1" t="s">
        <v>42</v>
      </c>
      <c r="L17" s="22">
        <v>10.0</v>
      </c>
      <c r="M17" s="5" t="s">
        <v>169</v>
      </c>
      <c r="N17" s="36">
        <f t="shared" si="3"/>
        <v>96000</v>
      </c>
      <c r="O17" s="40">
        <f t="shared" si="4"/>
        <v>21000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2">
        <v>14.0</v>
      </c>
      <c r="B18" s="1" t="s">
        <v>182</v>
      </c>
      <c r="C18" s="23">
        <v>5000000.0</v>
      </c>
      <c r="D18" s="23">
        <v>550000.0</v>
      </c>
      <c r="E18" s="23">
        <v>500000.0</v>
      </c>
      <c r="F18" s="23">
        <v>165000.0</v>
      </c>
      <c r="G18" s="23">
        <v>100000.0</v>
      </c>
      <c r="H18" s="23">
        <v>117000.0</v>
      </c>
      <c r="I18" s="1" t="s">
        <v>166</v>
      </c>
      <c r="J18" s="23">
        <v>5000.0</v>
      </c>
      <c r="K18" s="1" t="s">
        <v>42</v>
      </c>
      <c r="L18" s="22">
        <v>15.0</v>
      </c>
      <c r="M18" s="5" t="s">
        <v>169</v>
      </c>
      <c r="N18" s="36">
        <f t="shared" si="3"/>
        <v>128000</v>
      </c>
      <c r="O18" s="40">
        <f t="shared" si="4"/>
        <v>28000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2">
        <v>15.0</v>
      </c>
      <c r="B19" s="1" t="s">
        <v>182</v>
      </c>
      <c r="C19" s="23">
        <v>7500000.0</v>
      </c>
      <c r="D19" s="23">
        <v>825000.0</v>
      </c>
      <c r="E19" s="23">
        <v>750000.0</v>
      </c>
      <c r="F19" s="23">
        <v>247500.0</v>
      </c>
      <c r="G19" s="23">
        <v>100000.0</v>
      </c>
      <c r="H19" s="23">
        <v>117000.0</v>
      </c>
      <c r="I19" s="1" t="s">
        <v>166</v>
      </c>
      <c r="J19" s="23">
        <v>5000.0</v>
      </c>
      <c r="K19" s="1" t="s">
        <v>42</v>
      </c>
      <c r="L19" s="22">
        <v>15.0</v>
      </c>
      <c r="M19" s="5" t="s">
        <v>169</v>
      </c>
      <c r="N19" s="36">
        <f t="shared" si="3"/>
        <v>128000</v>
      </c>
      <c r="O19" s="40">
        <f t="shared" si="4"/>
        <v>28000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2">
        <v>16.0</v>
      </c>
      <c r="B20" s="1" t="s">
        <v>182</v>
      </c>
      <c r="C20" s="23">
        <v>1.0E7</v>
      </c>
      <c r="D20" s="23">
        <v>1100000.0</v>
      </c>
      <c r="E20" s="23">
        <v>1000000.0</v>
      </c>
      <c r="F20" s="23">
        <v>330000.0</v>
      </c>
      <c r="G20" s="23">
        <v>150000.0</v>
      </c>
      <c r="H20" s="23">
        <v>175000.0</v>
      </c>
      <c r="I20" s="1" t="s">
        <v>166</v>
      </c>
      <c r="J20" s="23">
        <v>5000.0</v>
      </c>
      <c r="K20" s="1" t="s">
        <v>42</v>
      </c>
      <c r="L20" s="22">
        <v>15.0</v>
      </c>
      <c r="M20" s="5" t="s">
        <v>169</v>
      </c>
      <c r="N20" s="36">
        <f t="shared" si="3"/>
        <v>192000</v>
      </c>
      <c r="O20" s="40">
        <f t="shared" si="4"/>
        <v>42000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2">
        <v>17.0</v>
      </c>
      <c r="B21" s="1" t="s">
        <v>182</v>
      </c>
      <c r="C21" s="23">
        <v>1.5E7</v>
      </c>
      <c r="D21" s="23">
        <v>1650000.0</v>
      </c>
      <c r="E21" s="23">
        <v>1500000.0</v>
      </c>
      <c r="F21" s="23">
        <v>495000.0</v>
      </c>
      <c r="G21" s="23">
        <v>150000.0</v>
      </c>
      <c r="H21" s="23">
        <v>175000.0</v>
      </c>
      <c r="I21" s="1" t="s">
        <v>166</v>
      </c>
      <c r="J21" s="23">
        <v>10000.0</v>
      </c>
      <c r="K21" s="1" t="s">
        <v>42</v>
      </c>
      <c r="L21" s="22">
        <v>15.0</v>
      </c>
      <c r="M21" s="5" t="s">
        <v>169</v>
      </c>
      <c r="N21" s="36">
        <f t="shared" si="3"/>
        <v>192000</v>
      </c>
      <c r="O21" s="40">
        <f t="shared" si="4"/>
        <v>42000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2">
        <v>18.0</v>
      </c>
      <c r="B22" s="1" t="s">
        <v>183</v>
      </c>
      <c r="C22" s="23">
        <v>2.0E7</v>
      </c>
      <c r="D22" s="23">
        <v>2200000.0</v>
      </c>
      <c r="E22" s="23">
        <v>2000000.0</v>
      </c>
      <c r="F22" s="23">
        <v>770000.0</v>
      </c>
      <c r="G22" s="23">
        <v>250000.0</v>
      </c>
      <c r="H22" s="23">
        <v>292000.0</v>
      </c>
      <c r="I22" s="1" t="s">
        <v>166</v>
      </c>
      <c r="J22" s="23">
        <v>10000.0</v>
      </c>
      <c r="K22" s="1" t="s">
        <v>42</v>
      </c>
      <c r="L22" s="22">
        <v>15.0</v>
      </c>
      <c r="M22" s="5" t="s">
        <v>169</v>
      </c>
      <c r="N22" s="36">
        <f t="shared" si="3"/>
        <v>320000</v>
      </c>
      <c r="O22" s="40">
        <f t="shared" si="4"/>
        <v>70000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2">
        <v>19.0</v>
      </c>
      <c r="B23" s="1" t="s">
        <v>183</v>
      </c>
      <c r="C23" s="23">
        <v>2.5E7</v>
      </c>
      <c r="D23" s="23">
        <v>2750000.0</v>
      </c>
      <c r="E23" s="23">
        <v>2500000.0</v>
      </c>
      <c r="F23" s="23">
        <v>962500.0</v>
      </c>
      <c r="G23" s="23">
        <v>250000.0</v>
      </c>
      <c r="H23" s="23">
        <v>292000.0</v>
      </c>
      <c r="I23" s="1" t="s">
        <v>166</v>
      </c>
      <c r="J23" s="23">
        <v>10000.0</v>
      </c>
      <c r="K23" s="1" t="s">
        <v>42</v>
      </c>
      <c r="L23" s="22">
        <v>15.0</v>
      </c>
      <c r="M23" s="5" t="s">
        <v>169</v>
      </c>
      <c r="N23" s="36">
        <f t="shared" si="3"/>
        <v>320000</v>
      </c>
      <c r="O23" s="40">
        <f t="shared" si="4"/>
        <v>70000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2">
        <v>20.0</v>
      </c>
      <c r="B24" s="1" t="s">
        <v>183</v>
      </c>
      <c r="C24" s="23">
        <v>3.5E7</v>
      </c>
      <c r="D24" s="23">
        <v>3850000.0</v>
      </c>
      <c r="E24" s="23">
        <v>3500000.0</v>
      </c>
      <c r="F24" s="23">
        <v>1347500.0</v>
      </c>
      <c r="G24" s="23">
        <v>250000.0</v>
      </c>
      <c r="H24" s="23">
        <v>292000.0</v>
      </c>
      <c r="I24" s="1" t="s">
        <v>166</v>
      </c>
      <c r="J24" s="23">
        <v>10000.0</v>
      </c>
      <c r="K24" s="1" t="s">
        <v>42</v>
      </c>
      <c r="L24" s="22">
        <v>15.0</v>
      </c>
      <c r="M24" s="5" t="s">
        <v>169</v>
      </c>
      <c r="N24" s="36">
        <f t="shared" si="3"/>
        <v>320000</v>
      </c>
      <c r="O24" s="40">
        <f t="shared" si="4"/>
        <v>70000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2">
        <v>21.0</v>
      </c>
      <c r="B25" s="1" t="s">
        <v>183</v>
      </c>
      <c r="C25" s="23">
        <v>4.25E7</v>
      </c>
      <c r="D25" s="23">
        <v>4675000.0</v>
      </c>
      <c r="E25" s="23">
        <v>4250000.0</v>
      </c>
      <c r="F25" s="23">
        <v>1636250.0</v>
      </c>
      <c r="G25" s="23">
        <v>250000.0</v>
      </c>
      <c r="H25" s="23">
        <v>292000.0</v>
      </c>
      <c r="I25" s="1" t="s">
        <v>166</v>
      </c>
      <c r="J25" s="23">
        <v>10000.0</v>
      </c>
      <c r="K25" s="1" t="s">
        <v>42</v>
      </c>
      <c r="L25" s="22">
        <v>15.0</v>
      </c>
      <c r="M25" s="5" t="s">
        <v>169</v>
      </c>
      <c r="N25" s="36">
        <f t="shared" si="3"/>
        <v>320000</v>
      </c>
      <c r="O25" s="40">
        <f t="shared" si="4"/>
        <v>70000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2">
        <v>22.0</v>
      </c>
      <c r="B26" s="1" t="s">
        <v>184</v>
      </c>
      <c r="C26" s="23">
        <v>5.0E7</v>
      </c>
      <c r="D26" s="23">
        <v>5500000.0</v>
      </c>
      <c r="E26" s="23">
        <v>5000000.0</v>
      </c>
      <c r="F26" s="23">
        <v>2750000.0</v>
      </c>
      <c r="G26" s="23">
        <v>350000.0</v>
      </c>
      <c r="H26" s="23">
        <v>415000.0</v>
      </c>
      <c r="I26" s="1" t="s">
        <v>166</v>
      </c>
      <c r="J26" s="23">
        <v>20000.0</v>
      </c>
      <c r="K26" s="1" t="s">
        <v>42</v>
      </c>
      <c r="L26" s="22">
        <v>20.0</v>
      </c>
      <c r="M26" s="5" t="s">
        <v>169</v>
      </c>
      <c r="N26" s="36">
        <f t="shared" si="3"/>
        <v>448000</v>
      </c>
      <c r="O26" s="40">
        <f t="shared" si="4"/>
        <v>98000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2">
        <v>23.0</v>
      </c>
      <c r="B27" s="1" t="s">
        <v>184</v>
      </c>
      <c r="C27" s="23">
        <v>6.25E7</v>
      </c>
      <c r="D27" s="23">
        <v>6875000.0</v>
      </c>
      <c r="E27" s="23">
        <v>6250000.0</v>
      </c>
      <c r="F27" s="23">
        <v>3437500.0</v>
      </c>
      <c r="G27" s="23">
        <v>350000.0</v>
      </c>
      <c r="H27" s="23">
        <v>415000.0</v>
      </c>
      <c r="I27" s="1" t="s">
        <v>166</v>
      </c>
      <c r="J27" s="23">
        <v>20000.0</v>
      </c>
      <c r="K27" s="1" t="s">
        <v>42</v>
      </c>
      <c r="L27" s="22">
        <v>20.0</v>
      </c>
      <c r="M27" s="5" t="s">
        <v>169</v>
      </c>
      <c r="N27" s="36">
        <f t="shared" si="3"/>
        <v>448000</v>
      </c>
      <c r="O27" s="40">
        <f t="shared" si="4"/>
        <v>98000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2">
        <v>24.0</v>
      </c>
      <c r="B28" s="1" t="s">
        <v>184</v>
      </c>
      <c r="C28" s="23">
        <v>7.5E7</v>
      </c>
      <c r="D28" s="23">
        <v>8250000.0</v>
      </c>
      <c r="E28" s="23">
        <v>7500000.0</v>
      </c>
      <c r="F28" s="23">
        <v>4125000.0</v>
      </c>
      <c r="G28" s="23">
        <v>350000.0</v>
      </c>
      <c r="H28" s="23">
        <v>415000.0</v>
      </c>
      <c r="I28" s="1" t="s">
        <v>166</v>
      </c>
      <c r="J28" s="23">
        <v>20000.0</v>
      </c>
      <c r="K28" s="1" t="s">
        <v>42</v>
      </c>
      <c r="L28" s="22">
        <v>20.0</v>
      </c>
      <c r="M28" s="5" t="s">
        <v>169</v>
      </c>
      <c r="N28" s="36">
        <f t="shared" si="3"/>
        <v>448000</v>
      </c>
      <c r="O28" s="40">
        <f t="shared" si="4"/>
        <v>98000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0" t="s">
        <v>185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5" t="s">
        <v>186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45" t="s">
        <v>187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46"/>
      <c r="B33" s="1" t="s">
        <v>13</v>
      </c>
      <c r="C33" s="1" t="s">
        <v>188</v>
      </c>
      <c r="D33" s="1" t="s">
        <v>15</v>
      </c>
      <c r="E33" s="1" t="s">
        <v>16</v>
      </c>
      <c r="F33" s="1" t="s">
        <v>17</v>
      </c>
      <c r="G33" s="1" t="s">
        <v>19</v>
      </c>
      <c r="H33" s="1" t="s">
        <v>20</v>
      </c>
      <c r="I33" s="1" t="s">
        <v>21</v>
      </c>
      <c r="J33" s="1" t="s">
        <v>22</v>
      </c>
      <c r="K33" s="1" t="s">
        <v>23</v>
      </c>
      <c r="L33" s="1" t="s">
        <v>25</v>
      </c>
      <c r="M33" s="5" t="s">
        <v>26</v>
      </c>
      <c r="N33" s="19" t="s">
        <v>29</v>
      </c>
      <c r="O33" s="1" t="s">
        <v>189</v>
      </c>
      <c r="P33" s="1" t="s">
        <v>190</v>
      </c>
      <c r="Q33" s="20" t="s">
        <v>31</v>
      </c>
      <c r="R33" s="47" t="s">
        <v>191</v>
      </c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2">
        <v>1.0</v>
      </c>
      <c r="B34" s="1" t="s">
        <v>37</v>
      </c>
      <c r="C34" s="23">
        <v>1250.0</v>
      </c>
      <c r="D34" s="23">
        <v>1875.0</v>
      </c>
      <c r="E34" s="23">
        <v>1250.0</v>
      </c>
      <c r="F34" s="23">
        <v>0.0</v>
      </c>
      <c r="G34" s="23">
        <v>0.0</v>
      </c>
      <c r="H34" s="23">
        <v>0.0</v>
      </c>
      <c r="I34" s="1" t="s">
        <v>42</v>
      </c>
      <c r="J34" s="23">
        <v>0.0</v>
      </c>
      <c r="K34" s="25">
        <v>0.1</v>
      </c>
      <c r="L34" s="22">
        <v>0.0</v>
      </c>
      <c r="M34" s="5" t="s">
        <v>44</v>
      </c>
      <c r="N34" s="1"/>
      <c r="O34" s="1" t="s">
        <v>192</v>
      </c>
      <c r="P34" s="1" t="s">
        <v>193</v>
      </c>
      <c r="Q34" s="1"/>
      <c r="R34" s="48">
        <f t="shared" ref="R34:R57" si="5">C5</f>
        <v>25000</v>
      </c>
      <c r="S34" s="1"/>
      <c r="T34" s="49"/>
      <c r="U34" s="1"/>
      <c r="V34" s="1"/>
      <c r="W34" s="1"/>
      <c r="X34" s="1"/>
      <c r="Y34" s="1"/>
      <c r="Z34" s="1"/>
      <c r="AA34" s="1"/>
      <c r="AB34" s="1"/>
    </row>
    <row r="35">
      <c r="A35" s="22">
        <v>2.0</v>
      </c>
      <c r="B35" s="1" t="s">
        <v>37</v>
      </c>
      <c r="C35" s="23">
        <v>2500.0</v>
      </c>
      <c r="D35" s="23">
        <v>3750.0</v>
      </c>
      <c r="E35" s="23">
        <v>2500.0</v>
      </c>
      <c r="F35" s="23">
        <v>375.0</v>
      </c>
      <c r="G35" s="23">
        <v>0.0</v>
      </c>
      <c r="H35" s="23">
        <v>0.0</v>
      </c>
      <c r="I35" s="1" t="s">
        <v>42</v>
      </c>
      <c r="J35" s="23">
        <v>0.0</v>
      </c>
      <c r="K35" s="25">
        <v>0.15</v>
      </c>
      <c r="L35" s="22">
        <v>0.0</v>
      </c>
      <c r="M35" s="5" t="s">
        <v>44</v>
      </c>
      <c r="N35" s="1"/>
      <c r="O35" s="1" t="s">
        <v>194</v>
      </c>
      <c r="P35" s="1" t="s">
        <v>193</v>
      </c>
      <c r="Q35" s="1"/>
      <c r="R35" s="48">
        <f t="shared" si="5"/>
        <v>50000</v>
      </c>
      <c r="S35" s="1"/>
      <c r="T35" s="49"/>
      <c r="U35" s="1"/>
      <c r="V35" s="1"/>
      <c r="W35" s="1"/>
      <c r="X35" s="1"/>
      <c r="Y35" s="1"/>
      <c r="Z35" s="1"/>
      <c r="AA35" s="1"/>
      <c r="AB35" s="1"/>
    </row>
    <row r="36">
      <c r="A36" s="22">
        <v>3.0</v>
      </c>
      <c r="B36" s="1" t="s">
        <v>37</v>
      </c>
      <c r="C36" s="23">
        <v>3750.0</v>
      </c>
      <c r="D36" s="23">
        <v>5625.0</v>
      </c>
      <c r="E36" s="23">
        <v>3750.0</v>
      </c>
      <c r="F36" s="23">
        <v>563.0</v>
      </c>
      <c r="G36" s="23">
        <v>0.0</v>
      </c>
      <c r="H36" s="23">
        <v>0.0</v>
      </c>
      <c r="I36" s="1" t="s">
        <v>42</v>
      </c>
      <c r="J36" s="23">
        <v>0.0</v>
      </c>
      <c r="K36" s="25">
        <v>0.2</v>
      </c>
      <c r="L36" s="22">
        <v>0.0</v>
      </c>
      <c r="M36" s="5" t="s">
        <v>44</v>
      </c>
      <c r="N36" s="1"/>
      <c r="O36" s="1" t="s">
        <v>195</v>
      </c>
      <c r="P36" s="1" t="s">
        <v>196</v>
      </c>
      <c r="Q36" s="1"/>
      <c r="R36" s="48">
        <f t="shared" si="5"/>
        <v>75000</v>
      </c>
      <c r="S36" s="1"/>
      <c r="T36" s="49"/>
      <c r="U36" s="1"/>
      <c r="V36" s="1"/>
      <c r="W36" s="1"/>
      <c r="X36" s="1"/>
      <c r="Y36" s="1"/>
      <c r="Z36" s="1"/>
      <c r="AA36" s="1"/>
      <c r="AB36" s="1"/>
    </row>
    <row r="37">
      <c r="A37" s="22">
        <v>4.0</v>
      </c>
      <c r="B37" s="1" t="s">
        <v>37</v>
      </c>
      <c r="C37" s="23">
        <v>7500.0</v>
      </c>
      <c r="D37" s="23">
        <v>9400.0</v>
      </c>
      <c r="E37" s="23">
        <v>7000.0</v>
      </c>
      <c r="F37" s="23">
        <v>940.0</v>
      </c>
      <c r="G37" s="23">
        <v>0.0</v>
      </c>
      <c r="H37" s="23">
        <v>0.0</v>
      </c>
      <c r="I37" s="1" t="s">
        <v>42</v>
      </c>
      <c r="J37" s="23">
        <v>0.0</v>
      </c>
      <c r="K37" s="25">
        <v>0.25</v>
      </c>
      <c r="L37" s="22">
        <v>0.0</v>
      </c>
      <c r="M37" s="5" t="s">
        <v>64</v>
      </c>
      <c r="N37" s="1"/>
      <c r="O37" s="1" t="s">
        <v>197</v>
      </c>
      <c r="P37" s="1" t="s">
        <v>198</v>
      </c>
      <c r="Q37" s="1"/>
      <c r="R37" s="48">
        <f t="shared" si="5"/>
        <v>100000</v>
      </c>
      <c r="S37" s="1"/>
      <c r="T37" s="49"/>
      <c r="U37" s="1"/>
      <c r="V37" s="1"/>
      <c r="W37" s="1"/>
      <c r="X37" s="1"/>
      <c r="Y37" s="1"/>
      <c r="Z37" s="1"/>
      <c r="AA37" s="1"/>
      <c r="AB37" s="1"/>
    </row>
    <row r="38">
      <c r="A38" s="22">
        <v>5.0</v>
      </c>
      <c r="B38" s="1" t="s">
        <v>37</v>
      </c>
      <c r="C38" s="23">
        <v>11250.0</v>
      </c>
      <c r="D38" s="23">
        <v>14100.0</v>
      </c>
      <c r="E38" s="23">
        <v>10500.0</v>
      </c>
      <c r="F38" s="23">
        <v>1410.0</v>
      </c>
      <c r="G38" s="23">
        <v>0.0</v>
      </c>
      <c r="H38" s="23">
        <v>0.0</v>
      </c>
      <c r="I38" s="1" t="s">
        <v>42</v>
      </c>
      <c r="J38" s="23">
        <v>0.0</v>
      </c>
      <c r="K38" s="25">
        <v>0.5</v>
      </c>
      <c r="L38" s="22">
        <v>0.0</v>
      </c>
      <c r="M38" s="5" t="s">
        <v>64</v>
      </c>
      <c r="N38" s="1"/>
      <c r="O38" s="1" t="s">
        <v>199</v>
      </c>
      <c r="P38" s="1" t="s">
        <v>200</v>
      </c>
      <c r="Q38" s="1"/>
      <c r="R38" s="48">
        <f t="shared" si="5"/>
        <v>150000</v>
      </c>
      <c r="S38" s="1"/>
      <c r="T38" s="49"/>
      <c r="U38" s="1"/>
      <c r="V38" s="1"/>
      <c r="W38" s="1"/>
      <c r="X38" s="1"/>
      <c r="Y38" s="1"/>
      <c r="Z38" s="1"/>
      <c r="AA38" s="1"/>
      <c r="AB38" s="1"/>
    </row>
    <row r="39">
      <c r="A39" s="22">
        <v>6.0</v>
      </c>
      <c r="B39" s="1" t="s">
        <v>76</v>
      </c>
      <c r="C39" s="23">
        <v>18750.0</v>
      </c>
      <c r="D39" s="23">
        <v>23500.0</v>
      </c>
      <c r="E39" s="23">
        <v>17500.0</v>
      </c>
      <c r="F39" s="23">
        <v>2350.0</v>
      </c>
      <c r="G39" s="29">
        <v>17.0</v>
      </c>
      <c r="H39" s="23">
        <v>20.0</v>
      </c>
      <c r="I39" s="1" t="s">
        <v>81</v>
      </c>
      <c r="J39" s="23">
        <v>0.0</v>
      </c>
      <c r="K39" s="1" t="s">
        <v>42</v>
      </c>
      <c r="L39" s="22">
        <v>10.0</v>
      </c>
      <c r="M39" s="5" t="s">
        <v>64</v>
      </c>
      <c r="N39" s="31">
        <f t="shared" ref="N39:N42" si="6">G39*1820*1.28</f>
        <v>39603.2</v>
      </c>
      <c r="O39" s="1" t="s">
        <v>201</v>
      </c>
      <c r="P39" s="1" t="s">
        <v>200</v>
      </c>
      <c r="Q39" s="32">
        <f t="shared" ref="Q39:Q42" si="7">N39-(G39*1820)</f>
        <v>8663.2</v>
      </c>
      <c r="R39" s="48">
        <f t="shared" si="5"/>
        <v>250000</v>
      </c>
      <c r="S39" s="1"/>
      <c r="T39" s="49"/>
      <c r="U39" s="1"/>
      <c r="V39" s="1"/>
      <c r="W39" s="1"/>
      <c r="X39" s="1"/>
      <c r="Y39" s="1"/>
      <c r="Z39" s="1"/>
      <c r="AA39" s="1"/>
      <c r="AB39" s="1"/>
    </row>
    <row r="40">
      <c r="A40" s="22">
        <v>7.0</v>
      </c>
      <c r="B40" s="1" t="s">
        <v>76</v>
      </c>
      <c r="C40" s="23">
        <v>26250.0</v>
      </c>
      <c r="D40" s="23">
        <v>32900.0</v>
      </c>
      <c r="E40" s="23">
        <v>24500.0</v>
      </c>
      <c r="F40" s="23">
        <v>3290.0</v>
      </c>
      <c r="G40" s="29">
        <v>17.0</v>
      </c>
      <c r="H40" s="23">
        <v>20.0</v>
      </c>
      <c r="I40" s="1" t="s">
        <v>81</v>
      </c>
      <c r="J40" s="23">
        <v>750.0</v>
      </c>
      <c r="K40" s="1" t="s">
        <v>42</v>
      </c>
      <c r="L40" s="22">
        <v>10.0</v>
      </c>
      <c r="M40" s="5" t="s">
        <v>64</v>
      </c>
      <c r="N40" s="31">
        <f t="shared" si="6"/>
        <v>39603.2</v>
      </c>
      <c r="O40" s="1" t="s">
        <v>202</v>
      </c>
      <c r="P40" s="1" t="s">
        <v>200</v>
      </c>
      <c r="Q40" s="32">
        <f t="shared" si="7"/>
        <v>8663.2</v>
      </c>
      <c r="R40" s="48">
        <f t="shared" si="5"/>
        <v>350000</v>
      </c>
      <c r="S40" s="1"/>
      <c r="T40" s="49"/>
      <c r="U40" s="1"/>
      <c r="V40" s="1"/>
      <c r="W40" s="1"/>
      <c r="X40" s="1"/>
      <c r="Y40" s="1"/>
      <c r="Z40" s="1"/>
      <c r="AA40" s="1"/>
      <c r="AB40" s="1"/>
    </row>
    <row r="41">
      <c r="A41" s="22">
        <v>8.0</v>
      </c>
      <c r="B41" s="1" t="s">
        <v>76</v>
      </c>
      <c r="C41" s="23">
        <v>37500.0</v>
      </c>
      <c r="D41" s="23">
        <v>47000.0</v>
      </c>
      <c r="E41" s="23">
        <v>35000.0</v>
      </c>
      <c r="F41" s="23">
        <v>6110.0</v>
      </c>
      <c r="G41" s="29">
        <v>20.0</v>
      </c>
      <c r="H41" s="23">
        <v>24.0</v>
      </c>
      <c r="I41" s="1" t="s">
        <v>81</v>
      </c>
      <c r="J41" s="23">
        <v>1000.0</v>
      </c>
      <c r="K41" s="1" t="s">
        <v>42</v>
      </c>
      <c r="L41" s="22">
        <v>10.0</v>
      </c>
      <c r="M41" s="5" t="s">
        <v>64</v>
      </c>
      <c r="N41" s="31">
        <f t="shared" si="6"/>
        <v>46592</v>
      </c>
      <c r="O41" s="1" t="s">
        <v>203</v>
      </c>
      <c r="P41" s="1" t="s">
        <v>200</v>
      </c>
      <c r="Q41" s="32">
        <f t="shared" si="7"/>
        <v>10192</v>
      </c>
      <c r="R41" s="48">
        <f t="shared" si="5"/>
        <v>500000</v>
      </c>
      <c r="S41" s="1"/>
      <c r="T41" s="49"/>
      <c r="U41" s="1"/>
      <c r="V41" s="1"/>
      <c r="W41" s="1"/>
      <c r="X41" s="1"/>
      <c r="Y41" s="1"/>
      <c r="Z41" s="1"/>
      <c r="AA41" s="1"/>
      <c r="AB41" s="1"/>
    </row>
    <row r="42">
      <c r="A42" s="22">
        <v>9.0</v>
      </c>
      <c r="B42" s="1" t="s">
        <v>76</v>
      </c>
      <c r="C42" s="23">
        <v>56250.0</v>
      </c>
      <c r="D42" s="23">
        <v>70500.0</v>
      </c>
      <c r="E42" s="23">
        <v>52500.0</v>
      </c>
      <c r="F42" s="23">
        <v>10575.0</v>
      </c>
      <c r="G42" s="29">
        <v>22.0</v>
      </c>
      <c r="H42" s="23">
        <v>26.0</v>
      </c>
      <c r="I42" s="1" t="s">
        <v>81</v>
      </c>
      <c r="J42" s="23">
        <v>1000.0</v>
      </c>
      <c r="K42" s="1" t="s">
        <v>42</v>
      </c>
      <c r="L42" s="22">
        <v>10.0</v>
      </c>
      <c r="M42" s="5" t="s">
        <v>64</v>
      </c>
      <c r="N42" s="31">
        <f t="shared" si="6"/>
        <v>51251.2</v>
      </c>
      <c r="O42" s="1" t="s">
        <v>204</v>
      </c>
      <c r="P42" s="1" t="s">
        <v>200</v>
      </c>
      <c r="Q42" s="32">
        <f t="shared" si="7"/>
        <v>11211.2</v>
      </c>
      <c r="R42" s="48">
        <f t="shared" si="5"/>
        <v>750000</v>
      </c>
      <c r="S42" s="1"/>
      <c r="T42" s="49"/>
      <c r="U42" s="1"/>
      <c r="V42" s="1"/>
      <c r="W42" s="1"/>
      <c r="X42" s="1"/>
      <c r="Y42" s="1"/>
      <c r="Z42" s="1"/>
      <c r="AA42" s="1"/>
      <c r="AB42" s="1"/>
    </row>
    <row r="43">
      <c r="A43" s="22">
        <v>10.0</v>
      </c>
      <c r="B43" s="1" t="s">
        <v>162</v>
      </c>
      <c r="C43" s="23">
        <v>100000.0</v>
      </c>
      <c r="D43" s="23">
        <v>110000.0</v>
      </c>
      <c r="E43" s="23">
        <v>90000.0</v>
      </c>
      <c r="F43" s="23">
        <v>27500.0</v>
      </c>
      <c r="G43" s="23">
        <v>55000.0</v>
      </c>
      <c r="H43" s="23">
        <v>64000.0</v>
      </c>
      <c r="I43" s="1" t="s">
        <v>166</v>
      </c>
      <c r="J43" s="23">
        <v>1500.0</v>
      </c>
      <c r="K43" s="1" t="s">
        <v>42</v>
      </c>
      <c r="L43" s="22">
        <v>10.0</v>
      </c>
      <c r="M43" s="5" t="s">
        <v>169</v>
      </c>
      <c r="N43" s="36">
        <f t="shared" ref="N43:N57" si="8">G43*1.28</f>
        <v>70400</v>
      </c>
      <c r="O43" s="1" t="s">
        <v>205</v>
      </c>
      <c r="P43" s="1" t="s">
        <v>200</v>
      </c>
      <c r="Q43" s="40">
        <f t="shared" ref="Q43:Q57" si="9">N43-G43</f>
        <v>15400</v>
      </c>
      <c r="R43" s="48">
        <f t="shared" si="5"/>
        <v>1000000</v>
      </c>
      <c r="S43" s="1"/>
      <c r="T43" s="49"/>
      <c r="U43" s="1"/>
      <c r="V43" s="1"/>
      <c r="W43" s="1"/>
      <c r="X43" s="1"/>
      <c r="Y43" s="1"/>
      <c r="Z43" s="1"/>
      <c r="AA43" s="1"/>
      <c r="AB43" s="1"/>
    </row>
    <row r="44">
      <c r="A44" s="22">
        <v>11.0</v>
      </c>
      <c r="B44" s="1" t="s">
        <v>162</v>
      </c>
      <c r="C44" s="23">
        <v>150000.0</v>
      </c>
      <c r="D44" s="23">
        <v>165000.0</v>
      </c>
      <c r="E44" s="23">
        <v>135000.0</v>
      </c>
      <c r="F44" s="23">
        <v>41250.0</v>
      </c>
      <c r="G44" s="23">
        <v>55000.0</v>
      </c>
      <c r="H44" s="23">
        <v>64000.0</v>
      </c>
      <c r="I44" s="1" t="s">
        <v>166</v>
      </c>
      <c r="J44" s="23">
        <v>2000.0</v>
      </c>
      <c r="K44" s="1" t="s">
        <v>42</v>
      </c>
      <c r="L44" s="22">
        <v>10.0</v>
      </c>
      <c r="M44" s="5" t="s">
        <v>169</v>
      </c>
      <c r="N44" s="36">
        <f t="shared" si="8"/>
        <v>70400</v>
      </c>
      <c r="O44" s="1" t="s">
        <v>206</v>
      </c>
      <c r="P44" s="1" t="s">
        <v>200</v>
      </c>
      <c r="Q44" s="40">
        <f t="shared" si="9"/>
        <v>15400</v>
      </c>
      <c r="R44" s="48">
        <f t="shared" si="5"/>
        <v>1500000</v>
      </c>
      <c r="S44" s="1"/>
      <c r="T44" s="49"/>
      <c r="U44" s="1"/>
      <c r="V44" s="1"/>
      <c r="W44" s="1"/>
      <c r="X44" s="1"/>
      <c r="Y44" s="1"/>
      <c r="Z44" s="1"/>
      <c r="AA44" s="1"/>
      <c r="AB44" s="1"/>
    </row>
    <row r="45">
      <c r="A45" s="22">
        <v>12.0</v>
      </c>
      <c r="B45" s="1" t="s">
        <v>162</v>
      </c>
      <c r="C45" s="23">
        <v>200000.0</v>
      </c>
      <c r="D45" s="23">
        <v>220000.0</v>
      </c>
      <c r="E45" s="23">
        <v>180000.0</v>
      </c>
      <c r="F45" s="23">
        <v>55000.0</v>
      </c>
      <c r="G45" s="23">
        <v>75000.0</v>
      </c>
      <c r="H45" s="23">
        <v>87000.0</v>
      </c>
      <c r="I45" s="1" t="s">
        <v>166</v>
      </c>
      <c r="J45" s="23">
        <v>2500.0</v>
      </c>
      <c r="K45" s="1" t="s">
        <v>42</v>
      </c>
      <c r="L45" s="22">
        <v>10.0</v>
      </c>
      <c r="M45" s="5" t="s">
        <v>169</v>
      </c>
      <c r="N45" s="36">
        <f t="shared" si="8"/>
        <v>96000</v>
      </c>
      <c r="O45" s="1" t="s">
        <v>207</v>
      </c>
      <c r="P45" s="1" t="s">
        <v>200</v>
      </c>
      <c r="Q45" s="40">
        <f t="shared" si="9"/>
        <v>21000</v>
      </c>
      <c r="R45" s="48">
        <f t="shared" si="5"/>
        <v>2000000</v>
      </c>
      <c r="S45" s="1"/>
      <c r="T45" s="49"/>
      <c r="U45" s="1"/>
      <c r="V45" s="1"/>
      <c r="W45" s="1"/>
      <c r="X45" s="1"/>
      <c r="Y45" s="1"/>
      <c r="Z45" s="1"/>
      <c r="AA45" s="1"/>
      <c r="AB45" s="1"/>
    </row>
    <row r="46">
      <c r="A46" s="22">
        <v>13.0</v>
      </c>
      <c r="B46" s="1" t="s">
        <v>162</v>
      </c>
      <c r="C46" s="23">
        <v>300000.0</v>
      </c>
      <c r="D46" s="23">
        <v>330000.0</v>
      </c>
      <c r="E46" s="23">
        <v>270000.0</v>
      </c>
      <c r="F46" s="23">
        <v>82500.0</v>
      </c>
      <c r="G46" s="23">
        <v>75000.0</v>
      </c>
      <c r="H46" s="23">
        <v>87000.0</v>
      </c>
      <c r="I46" s="1" t="s">
        <v>166</v>
      </c>
      <c r="J46" s="23">
        <v>3000.0</v>
      </c>
      <c r="K46" s="1" t="s">
        <v>42</v>
      </c>
      <c r="L46" s="22">
        <v>10.0</v>
      </c>
      <c r="M46" s="5" t="s">
        <v>169</v>
      </c>
      <c r="N46" s="36">
        <f t="shared" si="8"/>
        <v>96000</v>
      </c>
      <c r="O46" s="1" t="s">
        <v>208</v>
      </c>
      <c r="P46" s="1" t="s">
        <v>200</v>
      </c>
      <c r="Q46" s="40">
        <f t="shared" si="9"/>
        <v>21000</v>
      </c>
      <c r="R46" s="48">
        <f t="shared" si="5"/>
        <v>3000000</v>
      </c>
      <c r="S46" s="1"/>
      <c r="T46" s="49"/>
      <c r="U46" s="1"/>
      <c r="V46" s="1"/>
      <c r="W46" s="1"/>
      <c r="X46" s="1"/>
      <c r="Y46" s="1"/>
      <c r="Z46" s="1"/>
      <c r="AA46" s="1"/>
      <c r="AB46" s="1"/>
    </row>
    <row r="47">
      <c r="A47" s="22">
        <v>14.0</v>
      </c>
      <c r="B47" s="1" t="s">
        <v>182</v>
      </c>
      <c r="C47" s="23">
        <v>500000.0</v>
      </c>
      <c r="D47" s="23">
        <v>550000.0</v>
      </c>
      <c r="E47" s="23">
        <v>500000.0</v>
      </c>
      <c r="F47" s="23">
        <v>165000.0</v>
      </c>
      <c r="G47" s="23">
        <v>100000.0</v>
      </c>
      <c r="H47" s="23">
        <v>117000.0</v>
      </c>
      <c r="I47" s="1" t="s">
        <v>166</v>
      </c>
      <c r="J47" s="23">
        <v>5000.0</v>
      </c>
      <c r="K47" s="1" t="s">
        <v>42</v>
      </c>
      <c r="L47" s="22">
        <v>15.0</v>
      </c>
      <c r="M47" s="5" t="s">
        <v>169</v>
      </c>
      <c r="N47" s="36">
        <f t="shared" si="8"/>
        <v>128000</v>
      </c>
      <c r="O47" s="1" t="s">
        <v>209</v>
      </c>
      <c r="P47" s="1" t="s">
        <v>200</v>
      </c>
      <c r="Q47" s="40">
        <f t="shared" si="9"/>
        <v>28000</v>
      </c>
      <c r="R47" s="48">
        <f t="shared" si="5"/>
        <v>5000000</v>
      </c>
      <c r="S47" s="1"/>
      <c r="T47" s="49"/>
      <c r="U47" s="1"/>
      <c r="V47" s="1"/>
      <c r="W47" s="1"/>
      <c r="X47" s="1"/>
      <c r="Y47" s="1"/>
      <c r="Z47" s="1"/>
      <c r="AA47" s="1"/>
      <c r="AB47" s="1"/>
    </row>
    <row r="48">
      <c r="A48" s="22">
        <v>15.0</v>
      </c>
      <c r="B48" s="1" t="s">
        <v>182</v>
      </c>
      <c r="C48" s="23">
        <v>750000.0</v>
      </c>
      <c r="D48" s="23">
        <v>825000.0</v>
      </c>
      <c r="E48" s="23">
        <v>750000.0</v>
      </c>
      <c r="F48" s="23">
        <v>247500.0</v>
      </c>
      <c r="G48" s="23">
        <v>100000.0</v>
      </c>
      <c r="H48" s="23">
        <v>117000.0</v>
      </c>
      <c r="I48" s="1" t="s">
        <v>166</v>
      </c>
      <c r="J48" s="23">
        <v>5000.0</v>
      </c>
      <c r="K48" s="1" t="s">
        <v>42</v>
      </c>
      <c r="L48" s="22">
        <v>15.0</v>
      </c>
      <c r="M48" s="5" t="s">
        <v>169</v>
      </c>
      <c r="N48" s="36">
        <f t="shared" si="8"/>
        <v>128000</v>
      </c>
      <c r="O48" s="1" t="s">
        <v>210</v>
      </c>
      <c r="P48" s="1" t="s">
        <v>200</v>
      </c>
      <c r="Q48" s="40">
        <f t="shared" si="9"/>
        <v>28000</v>
      </c>
      <c r="R48" s="48">
        <f t="shared" si="5"/>
        <v>7500000</v>
      </c>
      <c r="S48" s="1"/>
      <c r="T48" s="49"/>
      <c r="U48" s="1"/>
      <c r="V48" s="1"/>
      <c r="W48" s="1"/>
      <c r="X48" s="1"/>
      <c r="Y48" s="1"/>
      <c r="Z48" s="1"/>
      <c r="AA48" s="1"/>
      <c r="AB48" s="1"/>
    </row>
    <row r="49">
      <c r="A49" s="22">
        <v>16.0</v>
      </c>
      <c r="B49" s="1" t="s">
        <v>182</v>
      </c>
      <c r="C49" s="23">
        <v>1000000.0</v>
      </c>
      <c r="D49" s="23">
        <v>1100000.0</v>
      </c>
      <c r="E49" s="23">
        <v>1000000.0</v>
      </c>
      <c r="F49" s="23">
        <v>330000.0</v>
      </c>
      <c r="G49" s="23">
        <v>150000.0</v>
      </c>
      <c r="H49" s="23">
        <v>175000.0</v>
      </c>
      <c r="I49" s="1" t="s">
        <v>166</v>
      </c>
      <c r="J49" s="23">
        <v>5000.0</v>
      </c>
      <c r="K49" s="1" t="s">
        <v>42</v>
      </c>
      <c r="L49" s="22">
        <v>15.0</v>
      </c>
      <c r="M49" s="5" t="s">
        <v>169</v>
      </c>
      <c r="N49" s="36">
        <f t="shared" si="8"/>
        <v>192000</v>
      </c>
      <c r="O49" s="1" t="s">
        <v>211</v>
      </c>
      <c r="P49" s="1" t="s">
        <v>200</v>
      </c>
      <c r="Q49" s="40">
        <f t="shared" si="9"/>
        <v>42000</v>
      </c>
      <c r="R49" s="48">
        <f t="shared" si="5"/>
        <v>10000000</v>
      </c>
      <c r="S49" s="1"/>
      <c r="T49" s="49"/>
      <c r="U49" s="1"/>
      <c r="V49" s="1"/>
      <c r="W49" s="1"/>
      <c r="X49" s="1"/>
      <c r="Y49" s="1"/>
      <c r="Z49" s="1"/>
      <c r="AA49" s="1"/>
      <c r="AB49" s="1"/>
    </row>
    <row r="50">
      <c r="A50" s="22">
        <v>17.0</v>
      </c>
      <c r="B50" s="1" t="s">
        <v>182</v>
      </c>
      <c r="C50" s="23">
        <v>1500000.0</v>
      </c>
      <c r="D50" s="23">
        <v>1650000.0</v>
      </c>
      <c r="E50" s="23">
        <v>1500000.0</v>
      </c>
      <c r="F50" s="23">
        <v>495000.0</v>
      </c>
      <c r="G50" s="23">
        <v>150000.0</v>
      </c>
      <c r="H50" s="23">
        <v>175000.0</v>
      </c>
      <c r="I50" s="1" t="s">
        <v>166</v>
      </c>
      <c r="J50" s="23">
        <v>10000.0</v>
      </c>
      <c r="K50" s="1" t="s">
        <v>42</v>
      </c>
      <c r="L50" s="22">
        <v>15.0</v>
      </c>
      <c r="M50" s="5" t="s">
        <v>169</v>
      </c>
      <c r="N50" s="36">
        <f t="shared" si="8"/>
        <v>192000</v>
      </c>
      <c r="O50" s="1" t="s">
        <v>212</v>
      </c>
      <c r="P50" s="1" t="s">
        <v>200</v>
      </c>
      <c r="Q50" s="40">
        <f t="shared" si="9"/>
        <v>42000</v>
      </c>
      <c r="R50" s="48">
        <f t="shared" si="5"/>
        <v>15000000</v>
      </c>
      <c r="S50" s="1"/>
      <c r="T50" s="49"/>
      <c r="U50" s="1"/>
      <c r="V50" s="1"/>
      <c r="W50" s="1"/>
      <c r="X50" s="1"/>
      <c r="Y50" s="1"/>
      <c r="Z50" s="1"/>
      <c r="AA50" s="1"/>
      <c r="AB50" s="1"/>
    </row>
    <row r="51">
      <c r="A51" s="22">
        <v>18.0</v>
      </c>
      <c r="B51" s="1" t="s">
        <v>183</v>
      </c>
      <c r="C51" s="23">
        <v>2000000.0</v>
      </c>
      <c r="D51" s="23">
        <v>2200000.0</v>
      </c>
      <c r="E51" s="23">
        <v>2000000.0</v>
      </c>
      <c r="F51" s="23">
        <v>770000.0</v>
      </c>
      <c r="G51" s="23">
        <v>250000.0</v>
      </c>
      <c r="H51" s="23">
        <v>292000.0</v>
      </c>
      <c r="I51" s="1" t="s">
        <v>166</v>
      </c>
      <c r="J51" s="23">
        <v>10000.0</v>
      </c>
      <c r="K51" s="1" t="s">
        <v>42</v>
      </c>
      <c r="L51" s="22">
        <v>15.0</v>
      </c>
      <c r="M51" s="5" t="s">
        <v>169</v>
      </c>
      <c r="N51" s="36">
        <f t="shared" si="8"/>
        <v>320000</v>
      </c>
      <c r="O51" s="1" t="s">
        <v>213</v>
      </c>
      <c r="P51" s="1" t="s">
        <v>200</v>
      </c>
      <c r="Q51" s="40">
        <f t="shared" si="9"/>
        <v>70000</v>
      </c>
      <c r="R51" s="48">
        <f t="shared" si="5"/>
        <v>20000000</v>
      </c>
      <c r="S51" s="1"/>
      <c r="T51" s="49"/>
      <c r="U51" s="1"/>
      <c r="V51" s="1"/>
      <c r="W51" s="1"/>
      <c r="X51" s="1"/>
      <c r="Y51" s="1"/>
      <c r="Z51" s="1"/>
      <c r="AA51" s="1"/>
      <c r="AB51" s="1"/>
    </row>
    <row r="52">
      <c r="A52" s="22">
        <v>19.0</v>
      </c>
      <c r="B52" s="1" t="s">
        <v>183</v>
      </c>
      <c r="C52" s="23">
        <v>2500000.0</v>
      </c>
      <c r="D52" s="23">
        <v>2750000.0</v>
      </c>
      <c r="E52" s="23">
        <v>2500000.0</v>
      </c>
      <c r="F52" s="23">
        <v>962500.0</v>
      </c>
      <c r="G52" s="23">
        <v>250000.0</v>
      </c>
      <c r="H52" s="23">
        <v>292000.0</v>
      </c>
      <c r="I52" s="1" t="s">
        <v>166</v>
      </c>
      <c r="J52" s="23">
        <v>10000.0</v>
      </c>
      <c r="K52" s="1" t="s">
        <v>42</v>
      </c>
      <c r="L52" s="22">
        <v>15.0</v>
      </c>
      <c r="M52" s="5" t="s">
        <v>169</v>
      </c>
      <c r="N52" s="36">
        <f t="shared" si="8"/>
        <v>320000</v>
      </c>
      <c r="O52" s="1" t="s">
        <v>214</v>
      </c>
      <c r="P52" s="1" t="s">
        <v>200</v>
      </c>
      <c r="Q52" s="40">
        <f t="shared" si="9"/>
        <v>70000</v>
      </c>
      <c r="R52" s="48">
        <f t="shared" si="5"/>
        <v>25000000</v>
      </c>
      <c r="S52" s="1"/>
      <c r="T52" s="49"/>
      <c r="U52" s="1"/>
      <c r="V52" s="1"/>
      <c r="W52" s="1"/>
      <c r="X52" s="1"/>
      <c r="Y52" s="1"/>
      <c r="Z52" s="1"/>
      <c r="AA52" s="1"/>
      <c r="AB52" s="1"/>
    </row>
    <row r="53">
      <c r="A53" s="22">
        <v>20.0</v>
      </c>
      <c r="B53" s="1" t="s">
        <v>183</v>
      </c>
      <c r="C53" s="23">
        <v>3500000.0</v>
      </c>
      <c r="D53" s="23">
        <v>3850000.0</v>
      </c>
      <c r="E53" s="23">
        <v>3500000.0</v>
      </c>
      <c r="F53" s="23">
        <v>1347500.0</v>
      </c>
      <c r="G53" s="23">
        <v>250000.0</v>
      </c>
      <c r="H53" s="23">
        <v>292000.0</v>
      </c>
      <c r="I53" s="1" t="s">
        <v>166</v>
      </c>
      <c r="J53" s="23">
        <v>10000.0</v>
      </c>
      <c r="K53" s="1" t="s">
        <v>42</v>
      </c>
      <c r="L53" s="22">
        <v>15.0</v>
      </c>
      <c r="M53" s="5" t="s">
        <v>169</v>
      </c>
      <c r="N53" s="36">
        <f t="shared" si="8"/>
        <v>320000</v>
      </c>
      <c r="O53" s="1" t="s">
        <v>215</v>
      </c>
      <c r="P53" s="1" t="s">
        <v>200</v>
      </c>
      <c r="Q53" s="40">
        <f t="shared" si="9"/>
        <v>70000</v>
      </c>
      <c r="R53" s="48">
        <f t="shared" si="5"/>
        <v>35000000</v>
      </c>
      <c r="S53" s="1"/>
      <c r="T53" s="49"/>
      <c r="U53" s="1"/>
      <c r="V53" s="1"/>
      <c r="W53" s="1"/>
      <c r="X53" s="1"/>
      <c r="Y53" s="1"/>
      <c r="Z53" s="1"/>
      <c r="AA53" s="1"/>
      <c r="AB53" s="1"/>
    </row>
    <row r="54">
      <c r="A54" s="22">
        <v>21.0</v>
      </c>
      <c r="B54" s="1" t="s">
        <v>183</v>
      </c>
      <c r="C54" s="23">
        <v>4250000.0</v>
      </c>
      <c r="D54" s="23">
        <v>4675000.0</v>
      </c>
      <c r="E54" s="23">
        <v>4250000.0</v>
      </c>
      <c r="F54" s="23">
        <v>1636250.0</v>
      </c>
      <c r="G54" s="23">
        <v>250000.0</v>
      </c>
      <c r="H54" s="23">
        <v>292000.0</v>
      </c>
      <c r="I54" s="1" t="s">
        <v>166</v>
      </c>
      <c r="J54" s="23">
        <v>10000.0</v>
      </c>
      <c r="K54" s="1" t="s">
        <v>42</v>
      </c>
      <c r="L54" s="22">
        <v>15.0</v>
      </c>
      <c r="M54" s="5" t="s">
        <v>169</v>
      </c>
      <c r="N54" s="36">
        <f t="shared" si="8"/>
        <v>320000</v>
      </c>
      <c r="O54" s="1" t="s">
        <v>216</v>
      </c>
      <c r="P54" s="1" t="s">
        <v>200</v>
      </c>
      <c r="Q54" s="40">
        <f t="shared" si="9"/>
        <v>70000</v>
      </c>
      <c r="R54" s="48">
        <f t="shared" si="5"/>
        <v>42500000</v>
      </c>
      <c r="S54" s="1"/>
      <c r="T54" s="49"/>
      <c r="U54" s="1"/>
      <c r="V54" s="1"/>
      <c r="W54" s="1"/>
      <c r="X54" s="1"/>
      <c r="Y54" s="1"/>
      <c r="Z54" s="1"/>
      <c r="AA54" s="1"/>
      <c r="AB54" s="1"/>
    </row>
    <row r="55">
      <c r="A55" s="22">
        <v>22.0</v>
      </c>
      <c r="B55" s="1" t="s">
        <v>184</v>
      </c>
      <c r="C55" s="23">
        <v>5000000.0</v>
      </c>
      <c r="D55" s="23">
        <v>5500000.0</v>
      </c>
      <c r="E55" s="23">
        <v>5000000.0</v>
      </c>
      <c r="F55" s="23">
        <v>2750000.0</v>
      </c>
      <c r="G55" s="23">
        <v>350000.0</v>
      </c>
      <c r="H55" s="23">
        <v>415000.0</v>
      </c>
      <c r="I55" s="1" t="s">
        <v>166</v>
      </c>
      <c r="J55" s="23">
        <v>20000.0</v>
      </c>
      <c r="K55" s="1" t="s">
        <v>42</v>
      </c>
      <c r="L55" s="22">
        <v>20.0</v>
      </c>
      <c r="M55" s="5" t="s">
        <v>169</v>
      </c>
      <c r="N55" s="36">
        <f t="shared" si="8"/>
        <v>448000</v>
      </c>
      <c r="O55" s="1" t="s">
        <v>217</v>
      </c>
      <c r="P55" s="1" t="s">
        <v>200</v>
      </c>
      <c r="Q55" s="40">
        <f t="shared" si="9"/>
        <v>98000</v>
      </c>
      <c r="R55" s="48">
        <f t="shared" si="5"/>
        <v>50000000</v>
      </c>
      <c r="S55" s="1"/>
      <c r="T55" s="49"/>
      <c r="U55" s="1"/>
      <c r="V55" s="1"/>
      <c r="W55" s="1"/>
      <c r="X55" s="1"/>
      <c r="Y55" s="1"/>
      <c r="Z55" s="1"/>
      <c r="AA55" s="1"/>
      <c r="AB55" s="1"/>
    </row>
    <row r="56">
      <c r="A56" s="22">
        <v>23.0</v>
      </c>
      <c r="B56" s="1" t="s">
        <v>184</v>
      </c>
      <c r="C56" s="50">
        <v>6250000.0</v>
      </c>
      <c r="D56" s="23">
        <v>6875000.0</v>
      </c>
      <c r="E56" s="23">
        <v>6250000.0</v>
      </c>
      <c r="F56" s="23">
        <v>3437500.0</v>
      </c>
      <c r="G56" s="23">
        <v>350000.0</v>
      </c>
      <c r="H56" s="23">
        <v>415000.0</v>
      </c>
      <c r="I56" s="1" t="s">
        <v>166</v>
      </c>
      <c r="J56" s="23">
        <v>20000.0</v>
      </c>
      <c r="K56" s="1" t="s">
        <v>42</v>
      </c>
      <c r="L56" s="22">
        <v>20.0</v>
      </c>
      <c r="M56" s="5" t="s">
        <v>169</v>
      </c>
      <c r="N56" s="36">
        <f t="shared" si="8"/>
        <v>448000</v>
      </c>
      <c r="O56" s="1" t="s">
        <v>218</v>
      </c>
      <c r="P56" s="1" t="s">
        <v>200</v>
      </c>
      <c r="Q56" s="40">
        <f t="shared" si="9"/>
        <v>98000</v>
      </c>
      <c r="R56" s="48">
        <f t="shared" si="5"/>
        <v>62500000</v>
      </c>
      <c r="S56" s="1"/>
      <c r="T56" s="49"/>
      <c r="U56" s="1"/>
      <c r="V56" s="1"/>
      <c r="W56" s="1"/>
      <c r="X56" s="1"/>
      <c r="Y56" s="1"/>
      <c r="Z56" s="1"/>
      <c r="AA56" s="1"/>
      <c r="AB56" s="1"/>
    </row>
    <row r="57">
      <c r="A57" s="22">
        <v>24.0</v>
      </c>
      <c r="B57" s="1" t="s">
        <v>184</v>
      </c>
      <c r="C57" s="50">
        <v>7500000.0</v>
      </c>
      <c r="D57" s="23">
        <v>8250000.0</v>
      </c>
      <c r="E57" s="23">
        <v>7500000.0</v>
      </c>
      <c r="F57" s="23">
        <v>4125000.0</v>
      </c>
      <c r="G57" s="23">
        <v>350000.0</v>
      </c>
      <c r="H57" s="23">
        <v>415000.0</v>
      </c>
      <c r="I57" s="1" t="s">
        <v>166</v>
      </c>
      <c r="J57" s="23">
        <v>20000.0</v>
      </c>
      <c r="K57" s="1" t="s">
        <v>42</v>
      </c>
      <c r="L57" s="22">
        <v>20.0</v>
      </c>
      <c r="M57" s="5" t="s">
        <v>169</v>
      </c>
      <c r="N57" s="36">
        <f t="shared" si="8"/>
        <v>448000</v>
      </c>
      <c r="O57" s="1" t="s">
        <v>219</v>
      </c>
      <c r="P57" s="1" t="s">
        <v>200</v>
      </c>
      <c r="Q57" s="40">
        <f t="shared" si="9"/>
        <v>98000</v>
      </c>
      <c r="R57" s="48">
        <f t="shared" si="5"/>
        <v>75000000</v>
      </c>
      <c r="S57" s="1"/>
      <c r="T57" s="49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0" t="s">
        <v>220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5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52" t="s">
        <v>221</v>
      </c>
      <c r="B62" s="52" t="s">
        <v>222</v>
      </c>
      <c r="C62" s="52" t="s">
        <v>223</v>
      </c>
      <c r="D62" s="52" t="s">
        <v>224</v>
      </c>
      <c r="E62" s="52" t="s">
        <v>225</v>
      </c>
      <c r="F62" s="52" t="s">
        <v>226</v>
      </c>
      <c r="G62" s="52" t="s">
        <v>227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52" t="s">
        <v>228</v>
      </c>
      <c r="B63" s="49">
        <v>650.0</v>
      </c>
      <c r="C63" s="49">
        <v>375.0</v>
      </c>
      <c r="D63" s="49">
        <v>325.0</v>
      </c>
      <c r="E63" s="49">
        <v>150.0</v>
      </c>
      <c r="F63" s="49">
        <v>499.0</v>
      </c>
      <c r="G63" s="49">
        <v>325.0</v>
      </c>
      <c r="H63" s="1"/>
      <c r="I63" s="1"/>
      <c r="J63" s="1"/>
      <c r="K63" s="20"/>
      <c r="L63" s="20"/>
      <c r="M63" s="2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52" t="s">
        <v>229</v>
      </c>
      <c r="B64" s="49">
        <v>1250.0</v>
      </c>
      <c r="C64" s="49">
        <v>725.0</v>
      </c>
      <c r="D64" s="49">
        <v>625.0</v>
      </c>
      <c r="E64" s="49">
        <v>275.0</v>
      </c>
      <c r="F64" s="49">
        <v>1049.0</v>
      </c>
      <c r="G64" s="49">
        <v>600.0</v>
      </c>
      <c r="H64" s="1"/>
      <c r="I64" s="1"/>
      <c r="J64" s="1"/>
      <c r="K64" s="20"/>
      <c r="L64" s="20"/>
      <c r="M64" s="2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52" t="s">
        <v>230</v>
      </c>
      <c r="B65" s="49">
        <v>6900.0</v>
      </c>
      <c r="C65" s="49">
        <v>3800.0</v>
      </c>
      <c r="D65" s="49">
        <v>3500.0</v>
      </c>
      <c r="E65" s="49">
        <v>1500.0</v>
      </c>
      <c r="F65" s="49">
        <v>5599.0</v>
      </c>
      <c r="G65" s="49">
        <v>3250.0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3" max="3" width="71.75"/>
  </cols>
  <sheetData>
    <row r="1">
      <c r="A1" s="2"/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2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3" t="s">
        <v>6</v>
      </c>
      <c r="B3" s="15" t="s">
        <v>9</v>
      </c>
      <c r="C3" s="13" t="s">
        <v>10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8" t="s">
        <v>18</v>
      </c>
      <c r="B4" s="15" t="s">
        <v>28</v>
      </c>
      <c r="C4" s="13" t="s">
        <v>30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8" t="s">
        <v>34</v>
      </c>
      <c r="B5" s="15" t="s">
        <v>35</v>
      </c>
      <c r="C5" s="13" t="s">
        <v>36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8" t="s">
        <v>41</v>
      </c>
      <c r="B6" s="15">
        <v>10.0</v>
      </c>
      <c r="C6" s="13" t="s">
        <v>48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 t="s">
        <v>52</v>
      </c>
      <c r="B7" s="15">
        <v>100.0</v>
      </c>
      <c r="C7" s="13" t="s">
        <v>57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8" t="s">
        <v>58</v>
      </c>
      <c r="B8" s="15">
        <v>1.05</v>
      </c>
      <c r="C8" s="13" t="s">
        <v>61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 t="s">
        <v>67</v>
      </c>
      <c r="B9" s="15">
        <v>7.0</v>
      </c>
      <c r="C9" s="13" t="s">
        <v>68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8" t="s">
        <v>80</v>
      </c>
      <c r="B10" s="15">
        <v>140.0</v>
      </c>
      <c r="C10" s="13" t="s">
        <v>82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 t="s">
        <v>87</v>
      </c>
      <c r="B11" s="15" t="s">
        <v>35</v>
      </c>
      <c r="C11" s="13" t="s">
        <v>90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 t="s">
        <v>95</v>
      </c>
      <c r="B12" s="30" t="s">
        <v>98</v>
      </c>
      <c r="C12" s="13" t="s">
        <v>101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 t="s">
        <v>107</v>
      </c>
      <c r="B13" s="15" t="s">
        <v>28</v>
      </c>
      <c r="C13" s="13" t="s">
        <v>110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8" t="s">
        <v>116</v>
      </c>
      <c r="B14" s="15">
        <v>30.0</v>
      </c>
      <c r="C14" s="13" t="s">
        <v>117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8" t="s">
        <v>122</v>
      </c>
      <c r="B15" s="15">
        <v>0.1</v>
      </c>
      <c r="C15" s="13" t="s">
        <v>123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8" t="s">
        <v>128</v>
      </c>
      <c r="B16" s="15">
        <v>1.3</v>
      </c>
      <c r="C16" s="13" t="s">
        <v>129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8" t="s">
        <v>134</v>
      </c>
      <c r="B17" s="15">
        <v>1.6</v>
      </c>
      <c r="C17" s="13" t="s">
        <v>135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8" t="s">
        <v>140</v>
      </c>
      <c r="B18" s="15">
        <v>75000.0</v>
      </c>
      <c r="C18" s="13" t="s">
        <v>143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" t="s">
        <v>146</v>
      </c>
      <c r="B19" s="15" t="b">
        <v>1</v>
      </c>
      <c r="C19" s="13" t="s">
        <v>147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8" t="s">
        <v>150</v>
      </c>
      <c r="B20" s="15">
        <v>500.0</v>
      </c>
      <c r="C20" s="13" t="s">
        <v>152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8" t="s">
        <v>154</v>
      </c>
      <c r="B21" s="15" t="b">
        <v>1</v>
      </c>
      <c r="C21" s="13" t="s">
        <v>155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8" t="s">
        <v>158</v>
      </c>
      <c r="B22" s="15">
        <v>7.0</v>
      </c>
      <c r="C22" s="13" t="s">
        <v>160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8" t="s">
        <v>165</v>
      </c>
      <c r="B23" s="15" t="s">
        <v>167</v>
      </c>
      <c r="C23" s="13" t="s">
        <v>168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8" t="s">
        <v>170</v>
      </c>
      <c r="B24" s="15" t="s">
        <v>171</v>
      </c>
      <c r="C24" s="13" t="s">
        <v>172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8" t="s">
        <v>173</v>
      </c>
      <c r="B25" s="39">
        <v>0.075</v>
      </c>
      <c r="C25" s="41" t="s">
        <v>174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8" t="s">
        <v>175</v>
      </c>
      <c r="B26" s="42">
        <v>0.14</v>
      </c>
      <c r="C26" s="41" t="s">
        <v>176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8" t="s">
        <v>177</v>
      </c>
      <c r="B27" s="43" t="s">
        <v>178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8" t="s">
        <v>179</v>
      </c>
      <c r="B28" s="43" t="s">
        <v>178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8" t="s">
        <v>180</v>
      </c>
      <c r="B29" s="44" t="s">
        <v>178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8" t="s">
        <v>181</v>
      </c>
      <c r="B30" s="44" t="s">
        <v>178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69.5"/>
  </cols>
  <sheetData>
    <row r="1">
      <c r="A1" s="4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1" t="s">
        <v>3</v>
      </c>
      <c r="B2" s="7"/>
      <c r="C2" s="21" t="s">
        <v>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4" t="s">
        <v>39</v>
      </c>
      <c r="B3" s="26" t="s">
        <v>43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7" t="s">
        <v>47</v>
      </c>
      <c r="B4" s="28" t="s">
        <v>51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4" t="s">
        <v>54</v>
      </c>
      <c r="B5" s="26" t="s">
        <v>56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7" t="s">
        <v>59</v>
      </c>
      <c r="B6" s="28" t="s">
        <v>60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4" t="s">
        <v>65</v>
      </c>
      <c r="B7" s="26" t="s">
        <v>66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4" t="s">
        <v>70</v>
      </c>
      <c r="B8" s="26" t="s">
        <v>72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4" t="s">
        <v>73</v>
      </c>
      <c r="B9" s="26" t="s">
        <v>74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4" t="s">
        <v>78</v>
      </c>
      <c r="B10" s="26" t="s">
        <v>79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4" t="s">
        <v>85</v>
      </c>
      <c r="B11" s="26" t="s">
        <v>86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4" t="s">
        <v>91</v>
      </c>
      <c r="B12" s="26" t="s">
        <v>92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4" t="s">
        <v>96</v>
      </c>
      <c r="B13" s="26" t="s">
        <v>100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4" t="s">
        <v>103</v>
      </c>
      <c r="B14" s="26" t="s">
        <v>105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4" t="s">
        <v>109</v>
      </c>
      <c r="B15" s="26" t="s">
        <v>111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4" t="s">
        <v>114</v>
      </c>
      <c r="B16" s="26" t="s">
        <v>115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4" t="s">
        <v>120</v>
      </c>
      <c r="B17" s="26" t="s">
        <v>121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4" t="s">
        <v>126</v>
      </c>
      <c r="B18" s="26" t="s">
        <v>127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4" t="s">
        <v>131</v>
      </c>
      <c r="B19" s="26" t="s">
        <v>133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4" t="s">
        <v>136</v>
      </c>
      <c r="B20" s="26" t="s">
        <v>137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4" t="s">
        <v>141</v>
      </c>
      <c r="B21" s="26" t="s">
        <v>142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4" t="s">
        <v>144</v>
      </c>
      <c r="B22" s="26" t="s">
        <v>145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4" t="s">
        <v>148</v>
      </c>
      <c r="B23" s="26" t="s">
        <v>149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3" t="s">
        <v>151</v>
      </c>
      <c r="B24" s="34" t="s">
        <v>153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3" t="s">
        <v>156</v>
      </c>
      <c r="B25" s="34" t="s">
        <v>157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3" t="s">
        <v>159</v>
      </c>
      <c r="B26" s="34" t="s">
        <v>161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3" t="s">
        <v>163</v>
      </c>
      <c r="B27" s="34" t="s">
        <v>164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3"/>
      <c r="B28" s="3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7"/>
      <c r="B29" s="3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7"/>
      <c r="B30" s="3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7"/>
      <c r="B31" s="3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7"/>
      <c r="B32" s="3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4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4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4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4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4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4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4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4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4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4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4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4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4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4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4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4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4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4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4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4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4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4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4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4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4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4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4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4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4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4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4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4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4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4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4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4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4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4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4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4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4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4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4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4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4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4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4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4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4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4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4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4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4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4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4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4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4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4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4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4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4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4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4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4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4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4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4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4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4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4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4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4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4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4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4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4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4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4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4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4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4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4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4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4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4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4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4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4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4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4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4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4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4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4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4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4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4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4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4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4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4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4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4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4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4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4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4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4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4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4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4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4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4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4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4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4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4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4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4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4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4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4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4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4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4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4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4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4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4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4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4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4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4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4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4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4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4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4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4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4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4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4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4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4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4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4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4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4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4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4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4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4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4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4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4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4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4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4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4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4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4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4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4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4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4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4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4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4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4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4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4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4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4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4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4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4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4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4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4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4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4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4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4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4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4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4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4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4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4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4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4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4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4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4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4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4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4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4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4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4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4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4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4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4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4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4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4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4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4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4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4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4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4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4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4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4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4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4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4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4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4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4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4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4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4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4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4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4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4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4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4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4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4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4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4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4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4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4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4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4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4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4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4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4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4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4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4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4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4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4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4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4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4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4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4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4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4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4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4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4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4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4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4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4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4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4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4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4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4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4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4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4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4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4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4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4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4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4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4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4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4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4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4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4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4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4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4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4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4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4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4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4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4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4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4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4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4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4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4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4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4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4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4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4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4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4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4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4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4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4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4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4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4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4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4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4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4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4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4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4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4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4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4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4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4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4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4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4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4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4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4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4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4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4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4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4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4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4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4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4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4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4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4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4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4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4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4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4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4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4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4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4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4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4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4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4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4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4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4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4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4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4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4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4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4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4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4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4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4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4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4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4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4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4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4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4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4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4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4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4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4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4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4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4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4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4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4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4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4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4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4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4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4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4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4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4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4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4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4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4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4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4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4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4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4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4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4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4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4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4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4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4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4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4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4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4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4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4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4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4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4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4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4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4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4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4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4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4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4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4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4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4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4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4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4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4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4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4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4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4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4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4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4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4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4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4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4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4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4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4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4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4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4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4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4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4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4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4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4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4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4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4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4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4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4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4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4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4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4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4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4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4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4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4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4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4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4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4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4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4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4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4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4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4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4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4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4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4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4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4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4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4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4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4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4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4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4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4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4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4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4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4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4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4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4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4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4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4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4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4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4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4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4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4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4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4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4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4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4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4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4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4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4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4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4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4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4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4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4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4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4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4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4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4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4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4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4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4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4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4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4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4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4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4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4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4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4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4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4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4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4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4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4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4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4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4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4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4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4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4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4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4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4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4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4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4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4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4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4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4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4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4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4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4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4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4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4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4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4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4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4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4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4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4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4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4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4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4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4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4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4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4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4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4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4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4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4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4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4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4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4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4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4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4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4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4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4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4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4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4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4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4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4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4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4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4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4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4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4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4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4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4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4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4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4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4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4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4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4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4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4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4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4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4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4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4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4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4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4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4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4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4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4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4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4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4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4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4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4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4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4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4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4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4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4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4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4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4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4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4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4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4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4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4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4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4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4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4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4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4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4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4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4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4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4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4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4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4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4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4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4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4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4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4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4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4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4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4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4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4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4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4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4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4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4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4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4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4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4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4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4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4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4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4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4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4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4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4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4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4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4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4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4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4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4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4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4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4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4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4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4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4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4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4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4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4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4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4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4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4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4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4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4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4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4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4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4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4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4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4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4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4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4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4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4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4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4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4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4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4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4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4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</sheetData>
  <hyperlinks>
    <hyperlink r:id="rId1" location="gid=0" ref="C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  <col customWidth="1" min="2" max="2" width="54.13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 t="s">
        <v>5</v>
      </c>
      <c r="B3" s="12" t="s">
        <v>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 t="s">
        <v>11</v>
      </c>
      <c r="B4" s="12" t="s">
        <v>12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6" t="s">
        <v>24</v>
      </c>
      <c r="B5" s="12" t="s">
        <v>27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6" t="s">
        <v>32</v>
      </c>
      <c r="B6" s="12" t="s">
        <v>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6" t="s">
        <v>38</v>
      </c>
      <c r="B7" s="12" t="s">
        <v>40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6" t="s">
        <v>45</v>
      </c>
      <c r="B8" s="12" t="s">
        <v>46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6" t="s">
        <v>49</v>
      </c>
      <c r="B9" s="12" t="s">
        <v>50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6" t="s">
        <v>53</v>
      </c>
      <c r="B10" s="12" t="s">
        <v>55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6" t="s">
        <v>62</v>
      </c>
      <c r="B11" s="12" t="s">
        <v>63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6" t="s">
        <v>69</v>
      </c>
      <c r="B12" s="12" t="s">
        <v>71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6" t="s">
        <v>75</v>
      </c>
      <c r="B13" s="12" t="s">
        <v>77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6" t="s">
        <v>83</v>
      </c>
      <c r="B14" s="12" t="s">
        <v>84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6" t="s">
        <v>88</v>
      </c>
      <c r="B15" s="12" t="s">
        <v>89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6" t="s">
        <v>93</v>
      </c>
      <c r="B16" s="12" t="s">
        <v>94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6" t="s">
        <v>97</v>
      </c>
      <c r="B17" s="12" t="s">
        <v>99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6" t="s">
        <v>102</v>
      </c>
      <c r="B18" s="12" t="s">
        <v>104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6" t="s">
        <v>106</v>
      </c>
      <c r="B19" s="12" t="s">
        <v>108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6" t="s">
        <v>112</v>
      </c>
      <c r="B20" s="12" t="s">
        <v>113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6" t="s">
        <v>118</v>
      </c>
      <c r="B21" s="12" t="s">
        <v>119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6" t="s">
        <v>124</v>
      </c>
      <c r="B22" s="12" t="s">
        <v>125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6" t="s">
        <v>130</v>
      </c>
      <c r="B23" s="12" t="s">
        <v>132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6" t="s">
        <v>138</v>
      </c>
      <c r="B24" s="12" t="s">
        <v>139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5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3" t="s">
        <v>231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4" t="s">
        <v>232</v>
      </c>
      <c r="B3" s="54" t="s">
        <v>233</v>
      </c>
      <c r="C3" s="54" t="s">
        <v>234</v>
      </c>
      <c r="D3" s="54" t="s">
        <v>235</v>
      </c>
      <c r="E3" s="54" t="s">
        <v>236</v>
      </c>
      <c r="F3" s="54" t="s">
        <v>237</v>
      </c>
      <c r="G3" s="54" t="s">
        <v>238</v>
      </c>
      <c r="H3" s="54" t="s">
        <v>239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4" t="s">
        <v>240</v>
      </c>
      <c r="B4" s="55"/>
      <c r="C4" s="54" t="s">
        <v>241</v>
      </c>
      <c r="D4" s="54" t="s">
        <v>242</v>
      </c>
      <c r="E4" s="54">
        <v>7.0</v>
      </c>
      <c r="F4" s="54">
        <v>0.0</v>
      </c>
      <c r="G4" s="54" t="s">
        <v>243</v>
      </c>
      <c r="H4" s="56">
        <v>0.0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4" width="26.25"/>
  </cols>
  <sheetData>
    <row r="2">
      <c r="A2" s="57" t="s">
        <v>244</v>
      </c>
    </row>
    <row r="3">
      <c r="A3" s="54" t="s">
        <v>245</v>
      </c>
      <c r="B3" s="54" t="s">
        <v>246</v>
      </c>
      <c r="C3" s="54" t="s">
        <v>247</v>
      </c>
      <c r="D3" s="54" t="s">
        <v>248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54" t="s">
        <v>249</v>
      </c>
      <c r="B4" s="54">
        <v>0.25</v>
      </c>
      <c r="C4" s="54" t="s">
        <v>250</v>
      </c>
      <c r="D4" s="54" t="s">
        <v>251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3" width="30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9" t="s">
        <v>252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0" t="s">
        <v>253</v>
      </c>
      <c r="B3" s="60" t="s">
        <v>254</v>
      </c>
      <c r="C3" s="60" t="s">
        <v>255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0" t="s">
        <v>256</v>
      </c>
      <c r="B4" s="60" t="s">
        <v>257</v>
      </c>
      <c r="C4" s="60" t="s">
        <v>258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0" t="s">
        <v>259</v>
      </c>
      <c r="B5" s="60" t="s">
        <v>260</v>
      </c>
      <c r="C5" s="61" t="s">
        <v>261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0" t="s">
        <v>262</v>
      </c>
      <c r="B6" s="60" t="s">
        <v>263</v>
      </c>
      <c r="C6" s="61" t="s">
        <v>264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0" t="s">
        <v>265</v>
      </c>
      <c r="B7" s="60" t="s">
        <v>266</v>
      </c>
      <c r="C7" s="61" t="s">
        <v>267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0" t="s">
        <v>268</v>
      </c>
      <c r="B8" s="60" t="s">
        <v>269</v>
      </c>
      <c r="C8" s="61" t="s">
        <v>270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0" t="s">
        <v>271</v>
      </c>
      <c r="B9" s="60" t="s">
        <v>272</v>
      </c>
      <c r="C9" s="61" t="s">
        <v>273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0" t="s">
        <v>274</v>
      </c>
      <c r="B10" s="60" t="s">
        <v>275</v>
      </c>
      <c r="C10" s="61" t="s">
        <v>276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0" t="s">
        <v>274</v>
      </c>
      <c r="B11" s="60" t="s">
        <v>277</v>
      </c>
      <c r="C11" s="60" t="s">
        <v>278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0" t="s">
        <v>274</v>
      </c>
      <c r="B12" s="60" t="s">
        <v>279</v>
      </c>
      <c r="C12" s="60" t="s">
        <v>280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6" max="6" width="37.38"/>
    <col customWidth="1" min="7" max="7" width="24.5"/>
  </cols>
  <sheetData>
    <row r="2">
      <c r="A2" s="57" t="s">
        <v>281</v>
      </c>
    </row>
    <row r="4">
      <c r="A4" s="54" t="s">
        <v>282</v>
      </c>
      <c r="B4" s="54" t="s">
        <v>243</v>
      </c>
      <c r="C4" s="54" t="s">
        <v>283</v>
      </c>
      <c r="D4" s="54" t="s">
        <v>284</v>
      </c>
      <c r="E4" s="54" t="s">
        <v>285</v>
      </c>
      <c r="F4" s="54" t="s">
        <v>286</v>
      </c>
      <c r="G4" s="54" t="s">
        <v>287</v>
      </c>
    </row>
    <row r="5">
      <c r="A5" s="54">
        <v>1.0</v>
      </c>
      <c r="B5" s="54" t="s">
        <v>288</v>
      </c>
      <c r="C5" s="54">
        <v>0.0</v>
      </c>
      <c r="D5" s="54">
        <v>500.0</v>
      </c>
      <c r="E5" s="54" t="s">
        <v>289</v>
      </c>
      <c r="F5" s="54" t="s">
        <v>290</v>
      </c>
      <c r="G5" s="54" t="s">
        <v>291</v>
      </c>
    </row>
    <row r="6">
      <c r="A6" s="54">
        <v>10.0</v>
      </c>
      <c r="B6" s="54" t="s">
        <v>288</v>
      </c>
      <c r="C6" s="54">
        <v>0.0</v>
      </c>
      <c r="D6" s="54">
        <v>200.0</v>
      </c>
      <c r="E6" s="54" t="s">
        <v>292</v>
      </c>
      <c r="F6" s="54" t="s">
        <v>293</v>
      </c>
      <c r="G6" s="54" t="s">
        <v>294</v>
      </c>
    </row>
    <row r="7">
      <c r="A7" s="54">
        <v>14.0</v>
      </c>
      <c r="B7" s="54" t="s">
        <v>295</v>
      </c>
      <c r="C7" s="54">
        <v>0.0</v>
      </c>
      <c r="D7" s="54" t="s">
        <v>296</v>
      </c>
      <c r="E7" s="54" t="s">
        <v>297</v>
      </c>
      <c r="F7" s="54" t="s">
        <v>298</v>
      </c>
      <c r="G7" s="54" t="s">
        <v>296</v>
      </c>
    </row>
    <row r="8">
      <c r="A8" s="54">
        <v>18.0</v>
      </c>
      <c r="B8" s="54" t="s">
        <v>295</v>
      </c>
      <c r="C8" s="54">
        <v>0.0</v>
      </c>
      <c r="D8" s="54" t="s">
        <v>296</v>
      </c>
      <c r="E8" s="54" t="s">
        <v>299</v>
      </c>
      <c r="F8" s="54" t="s">
        <v>300</v>
      </c>
      <c r="G8" s="54" t="s">
        <v>296</v>
      </c>
    </row>
    <row r="9">
      <c r="A9" s="54">
        <v>22.0</v>
      </c>
      <c r="B9" s="54" t="s">
        <v>295</v>
      </c>
      <c r="C9" s="54">
        <v>0.0</v>
      </c>
      <c r="D9" s="54" t="s">
        <v>296</v>
      </c>
      <c r="E9" s="54" t="s">
        <v>301</v>
      </c>
      <c r="F9" s="54" t="s">
        <v>302</v>
      </c>
      <c r="G9" s="54" t="s">
        <v>296</v>
      </c>
    </row>
    <row r="10">
      <c r="A10" s="54" t="s">
        <v>303</v>
      </c>
      <c r="B10" s="54" t="s">
        <v>288</v>
      </c>
      <c r="C10" s="54">
        <v>0.0</v>
      </c>
      <c r="D10" s="54">
        <v>100.0</v>
      </c>
      <c r="E10" s="54" t="s">
        <v>304</v>
      </c>
      <c r="F10" s="54" t="s">
        <v>305</v>
      </c>
      <c r="G10" s="54" t="s">
        <v>306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17.13"/>
    <col customWidth="1" min="5" max="5" width="44.25"/>
  </cols>
  <sheetData>
    <row r="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63" t="s">
        <v>307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60" t="s">
        <v>308</v>
      </c>
      <c r="B4" s="60" t="s">
        <v>235</v>
      </c>
      <c r="C4" s="60" t="s">
        <v>309</v>
      </c>
      <c r="D4" s="60" t="s">
        <v>310</v>
      </c>
      <c r="E4" s="60" t="s">
        <v>311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4" t="s">
        <v>312</v>
      </c>
      <c r="B5" s="65" t="s">
        <v>313</v>
      </c>
      <c r="C5" s="65" t="s">
        <v>314</v>
      </c>
      <c r="D5" s="65" t="b">
        <v>1</v>
      </c>
      <c r="E5" s="65" t="s">
        <v>315</v>
      </c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7" t="s">
        <v>316</v>
      </c>
      <c r="B6" s="68" t="s">
        <v>313</v>
      </c>
      <c r="C6" s="68" t="s">
        <v>314</v>
      </c>
      <c r="D6" s="68" t="b">
        <v>1</v>
      </c>
      <c r="E6" s="68" t="s">
        <v>315</v>
      </c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>
      <c r="A7" s="70" t="s">
        <v>317</v>
      </c>
      <c r="B7" s="60" t="s">
        <v>313</v>
      </c>
      <c r="C7" s="60" t="s">
        <v>314</v>
      </c>
      <c r="D7" s="60" t="b">
        <v>1</v>
      </c>
      <c r="E7" s="60" t="s">
        <v>315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0" t="s">
        <v>318</v>
      </c>
      <c r="B8" s="60" t="s">
        <v>313</v>
      </c>
      <c r="C8" s="60" t="s">
        <v>314</v>
      </c>
      <c r="D8" s="60" t="b">
        <v>1</v>
      </c>
      <c r="E8" s="60" t="s">
        <v>315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0" t="s">
        <v>319</v>
      </c>
      <c r="B9" s="60" t="s">
        <v>313</v>
      </c>
      <c r="C9" s="60" t="s">
        <v>314</v>
      </c>
      <c r="D9" s="60" t="b">
        <v>1</v>
      </c>
      <c r="E9" s="60" t="s">
        <v>315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0" t="s">
        <v>320</v>
      </c>
      <c r="B10" s="60" t="s">
        <v>313</v>
      </c>
      <c r="C10" s="60" t="s">
        <v>314</v>
      </c>
      <c r="D10" s="60" t="b">
        <v>1</v>
      </c>
      <c r="E10" s="60" t="s">
        <v>315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0" t="s">
        <v>321</v>
      </c>
      <c r="B11" s="60" t="s">
        <v>322</v>
      </c>
      <c r="C11" s="60" t="s">
        <v>323</v>
      </c>
      <c r="D11" s="60" t="b">
        <v>1</v>
      </c>
      <c r="E11" s="60" t="s">
        <v>324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0" t="s">
        <v>325</v>
      </c>
      <c r="B12" s="60" t="s">
        <v>322</v>
      </c>
      <c r="C12" s="60" t="s">
        <v>326</v>
      </c>
      <c r="D12" s="60" t="b">
        <v>1</v>
      </c>
      <c r="E12" s="60" t="s">
        <v>327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  <row r="1001">
      <c r="A1001" s="62"/>
      <c r="B1001" s="62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3" max="3" width="15.63"/>
    <col customWidth="1" min="4" max="4" width="14.13"/>
    <col customWidth="1" min="7" max="7" width="16.5"/>
  </cols>
  <sheetData>
    <row r="2">
      <c r="A2" s="57" t="s">
        <v>328</v>
      </c>
    </row>
    <row r="3">
      <c r="A3" s="60" t="s">
        <v>221</v>
      </c>
      <c r="B3" s="60" t="s">
        <v>222</v>
      </c>
      <c r="C3" s="60" t="s">
        <v>223</v>
      </c>
      <c r="D3" s="60" t="s">
        <v>224</v>
      </c>
      <c r="E3" s="60" t="s">
        <v>225</v>
      </c>
      <c r="F3" s="60" t="s">
        <v>226</v>
      </c>
      <c r="G3" s="60" t="s">
        <v>227</v>
      </c>
    </row>
    <row r="4">
      <c r="A4" s="70" t="s">
        <v>228</v>
      </c>
      <c r="B4" s="71">
        <v>650.0</v>
      </c>
      <c r="C4" s="71">
        <v>400.0</v>
      </c>
      <c r="D4" s="71">
        <v>350.0</v>
      </c>
      <c r="E4" s="71">
        <v>150.0</v>
      </c>
      <c r="F4" s="71">
        <v>499.0</v>
      </c>
      <c r="G4" s="71">
        <v>325.0</v>
      </c>
    </row>
    <row r="5">
      <c r="A5" s="70" t="s">
        <v>229</v>
      </c>
      <c r="B5" s="71">
        <v>1250.0</v>
      </c>
      <c r="C5" s="71">
        <v>750.0</v>
      </c>
      <c r="D5" s="71">
        <v>650.0</v>
      </c>
      <c r="E5" s="71">
        <v>275.0</v>
      </c>
      <c r="F5" s="71">
        <v>1049.0</v>
      </c>
      <c r="G5" s="71">
        <v>625.0</v>
      </c>
    </row>
    <row r="6">
      <c r="A6" s="70" t="s">
        <v>230</v>
      </c>
      <c r="B6" s="71">
        <v>4500.0</v>
      </c>
      <c r="C6" s="71">
        <v>2500.0</v>
      </c>
      <c r="D6" s="71">
        <v>2200.0</v>
      </c>
      <c r="E6" s="71">
        <v>1000.0</v>
      </c>
      <c r="F6" s="71">
        <v>3599.0</v>
      </c>
      <c r="G6" s="71">
        <v>2150.0</v>
      </c>
    </row>
  </sheetData>
  <drawing r:id="rId1"/>
</worksheet>
</file>